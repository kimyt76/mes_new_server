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MES_NEW\부서별 MES 요구사항\부서별 요구사항\"/>
    </mc:Choice>
  </mc:AlternateContent>
  <bookViews>
    <workbookView xWindow="28680" yWindow="2760" windowWidth="29040" windowHeight="15720" tabRatio="976" firstSheet="7" activeTab="21"/>
  </bookViews>
  <sheets>
    <sheet name="07.01" sheetId="406" r:id="rId1"/>
    <sheet name="07.02" sheetId="407" r:id="rId2"/>
    <sheet name="07.03" sheetId="408" r:id="rId3"/>
    <sheet name="07.06" sheetId="409" r:id="rId4"/>
    <sheet name="07.07" sheetId="410" r:id="rId5"/>
    <sheet name="07.08" sheetId="411" r:id="rId6"/>
    <sheet name="07.09" sheetId="412" r:id="rId7"/>
    <sheet name="07.10" sheetId="413" r:id="rId8"/>
    <sheet name="07.13" sheetId="414" r:id="rId9"/>
    <sheet name="07.14" sheetId="415" r:id="rId10"/>
    <sheet name="07.15" sheetId="416" r:id="rId11"/>
    <sheet name="07.16" sheetId="417" r:id="rId12"/>
    <sheet name="07.20" sheetId="418" r:id="rId13"/>
    <sheet name="07.21" sheetId="419" r:id="rId14"/>
    <sheet name="07.22" sheetId="420" r:id="rId15"/>
    <sheet name="07.23" sheetId="421" r:id="rId16"/>
    <sheet name="07.24" sheetId="422" r:id="rId17"/>
    <sheet name="07.27" sheetId="423" r:id="rId18"/>
    <sheet name="07.28" sheetId="424" r:id="rId19"/>
    <sheet name="07.29" sheetId="425" r:id="rId20"/>
    <sheet name="07.30" sheetId="426" r:id="rId21"/>
    <sheet name="07.31" sheetId="427" r:id="rId22"/>
  </sheets>
  <definedNames>
    <definedName name="_xlnm.Print_Area" localSheetId="0">'07.01'!$A$1:$N$66</definedName>
    <definedName name="_xlnm.Print_Area" localSheetId="1">'07.02'!$A$1:$N$66</definedName>
    <definedName name="_xlnm.Print_Area" localSheetId="2">'07.03'!$A$1:$N$66</definedName>
    <definedName name="_xlnm.Print_Area" localSheetId="3">'07.06'!$A$1:$N$66</definedName>
    <definedName name="_xlnm.Print_Area" localSheetId="4">'07.07'!$A$1:$N$66</definedName>
    <definedName name="_xlnm.Print_Area" localSheetId="5">'07.08'!$A$1:$N$66</definedName>
    <definedName name="_xlnm.Print_Area" localSheetId="6">'07.09'!$A$1:$N$66</definedName>
    <definedName name="_xlnm.Print_Area" localSheetId="7">'07.10'!$A$1:$N$66</definedName>
    <definedName name="_xlnm.Print_Area" localSheetId="8">'07.13'!$A$1:$N$66</definedName>
    <definedName name="_xlnm.Print_Area" localSheetId="9">'07.14'!$A$1:$N$66</definedName>
    <definedName name="_xlnm.Print_Area" localSheetId="10">'07.15'!$A$1:$N$66</definedName>
    <definedName name="_xlnm.Print_Area" localSheetId="11">'07.16'!$A$1:$N$66</definedName>
    <definedName name="_xlnm.Print_Area" localSheetId="12">'07.20'!$A$1:$N$66</definedName>
    <definedName name="_xlnm.Print_Area" localSheetId="13">'07.21'!$A$1:$N$66</definedName>
    <definedName name="_xlnm.Print_Area" localSheetId="14">'07.22'!$A$1:$N$66</definedName>
    <definedName name="_xlnm.Print_Area" localSheetId="15">'07.23'!$A$1:$N$66</definedName>
    <definedName name="_xlnm.Print_Area" localSheetId="16">'07.24'!$A$1:$N$66</definedName>
    <definedName name="_xlnm.Print_Area" localSheetId="17">'07.27'!$A$1:$N$66</definedName>
    <definedName name="_xlnm.Print_Area" localSheetId="18">'07.28'!$A$1:$N$66</definedName>
    <definedName name="_xlnm.Print_Area" localSheetId="19">'07.29'!$A$1:$N$66</definedName>
    <definedName name="_xlnm.Print_Area" localSheetId="20">'07.30'!$A$1:$N$66</definedName>
    <definedName name="_xlnm.Print_Area" localSheetId="21">'07.31'!$A$1:$N$66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" i="427" l="1"/>
  <c r="J54" i="427"/>
  <c r="J55" i="427"/>
  <c r="J56" i="427"/>
  <c r="J59" i="427"/>
  <c r="J60" i="427"/>
  <c r="J61" i="427"/>
  <c r="J62" i="427"/>
  <c r="J63" i="427"/>
  <c r="J64" i="427"/>
  <c r="L52" i="427"/>
  <c r="K26" i="427"/>
  <c r="K27" i="427"/>
  <c r="K28" i="427"/>
  <c r="K29" i="427"/>
  <c r="L26" i="427"/>
  <c r="J30" i="427"/>
  <c r="K30" i="427"/>
  <c r="J31" i="427"/>
  <c r="K31" i="427"/>
  <c r="J32" i="427"/>
  <c r="K32" i="427"/>
  <c r="J33" i="427"/>
  <c r="K33" i="427"/>
  <c r="L30" i="427"/>
  <c r="J34" i="427"/>
  <c r="K34" i="427"/>
  <c r="J35" i="427"/>
  <c r="K35" i="427"/>
  <c r="K36" i="427"/>
  <c r="K37" i="427"/>
  <c r="L34" i="427"/>
  <c r="L38" i="427"/>
  <c r="L53" i="427"/>
  <c r="L65" i="427"/>
  <c r="L66" i="427"/>
  <c r="L43" i="427"/>
  <c r="L21" i="427"/>
  <c r="L20" i="427"/>
  <c r="L15" i="427"/>
  <c r="L11" i="427"/>
  <c r="L10" i="427"/>
  <c r="G15" i="426"/>
  <c r="L52" i="426"/>
  <c r="J53" i="426"/>
  <c r="J54" i="426"/>
  <c r="J55" i="426"/>
  <c r="B26" i="426"/>
  <c r="E26" i="426"/>
  <c r="K26" i="426"/>
  <c r="E27" i="426"/>
  <c r="K27" i="426"/>
  <c r="E28" i="426"/>
  <c r="K28" i="426"/>
  <c r="K29" i="426"/>
  <c r="L26" i="426"/>
  <c r="E30" i="426"/>
  <c r="J30" i="426"/>
  <c r="K30" i="426"/>
  <c r="E31" i="426"/>
  <c r="J31" i="426"/>
  <c r="K31" i="426"/>
  <c r="E32" i="426"/>
  <c r="J32" i="426"/>
  <c r="K32" i="426"/>
  <c r="E33" i="426"/>
  <c r="J33" i="426"/>
  <c r="K33" i="426"/>
  <c r="L30" i="426"/>
  <c r="E34" i="426"/>
  <c r="J34" i="426"/>
  <c r="K34" i="426"/>
  <c r="E35" i="426"/>
  <c r="J35" i="426"/>
  <c r="K35" i="426"/>
  <c r="E36" i="426"/>
  <c r="K36" i="426"/>
  <c r="E37" i="426"/>
  <c r="K37" i="426"/>
  <c r="L34" i="426"/>
  <c r="L38" i="426"/>
  <c r="J56" i="426"/>
  <c r="J58" i="426"/>
  <c r="J59" i="426"/>
  <c r="J60" i="426"/>
  <c r="J61" i="426"/>
  <c r="J62" i="426"/>
  <c r="J63" i="426"/>
  <c r="L53" i="426"/>
  <c r="L65" i="426"/>
  <c r="L66" i="426"/>
  <c r="J64" i="426"/>
  <c r="L43" i="426"/>
  <c r="L21" i="426"/>
  <c r="L20" i="426"/>
  <c r="L15" i="426"/>
  <c r="L11" i="426"/>
  <c r="L10" i="426"/>
  <c r="G15" i="425"/>
  <c r="L52" i="425"/>
  <c r="J53" i="425"/>
  <c r="J54" i="425"/>
  <c r="J55" i="425"/>
  <c r="B26" i="425"/>
  <c r="E26" i="425"/>
  <c r="K26" i="425"/>
  <c r="E27" i="425"/>
  <c r="K27" i="425"/>
  <c r="E28" i="425"/>
  <c r="K28" i="425"/>
  <c r="K29" i="425"/>
  <c r="L26" i="425"/>
  <c r="E30" i="425"/>
  <c r="J30" i="425"/>
  <c r="K30" i="425"/>
  <c r="E31" i="425"/>
  <c r="J31" i="425"/>
  <c r="K31" i="425"/>
  <c r="E32" i="425"/>
  <c r="J32" i="425"/>
  <c r="K32" i="425"/>
  <c r="E33" i="425"/>
  <c r="J33" i="425"/>
  <c r="K33" i="425"/>
  <c r="L30" i="425"/>
  <c r="E34" i="425"/>
  <c r="J34" i="425"/>
  <c r="K34" i="425"/>
  <c r="E35" i="425"/>
  <c r="J35" i="425"/>
  <c r="K35" i="425"/>
  <c r="E36" i="425"/>
  <c r="K36" i="425"/>
  <c r="E37" i="425"/>
  <c r="K37" i="425"/>
  <c r="L34" i="425"/>
  <c r="L38" i="425"/>
  <c r="J56" i="425"/>
  <c r="J58" i="425"/>
  <c r="J59" i="425"/>
  <c r="J60" i="425"/>
  <c r="J61" i="425"/>
  <c r="J62" i="425"/>
  <c r="J63" i="425"/>
  <c r="L53" i="425"/>
  <c r="L65" i="425"/>
  <c r="L66" i="425"/>
  <c r="J64" i="425"/>
  <c r="L43" i="425"/>
  <c r="L21" i="425"/>
  <c r="L20" i="425"/>
  <c r="L15" i="425"/>
  <c r="L11" i="425"/>
  <c r="L10" i="425"/>
  <c r="L52" i="424"/>
  <c r="J53" i="424"/>
  <c r="J54" i="424"/>
  <c r="J55" i="424"/>
  <c r="B26" i="424"/>
  <c r="E26" i="424"/>
  <c r="K26" i="424"/>
  <c r="E27" i="424"/>
  <c r="K27" i="424"/>
  <c r="E28" i="424"/>
  <c r="K28" i="424"/>
  <c r="K29" i="424"/>
  <c r="L26" i="424"/>
  <c r="E30" i="424"/>
  <c r="J30" i="424"/>
  <c r="K30" i="424"/>
  <c r="E31" i="424"/>
  <c r="J31" i="424"/>
  <c r="K31" i="424"/>
  <c r="E32" i="424"/>
  <c r="J32" i="424"/>
  <c r="K32" i="424"/>
  <c r="E33" i="424"/>
  <c r="J33" i="424"/>
  <c r="K33" i="424"/>
  <c r="L30" i="424"/>
  <c r="E34" i="424"/>
  <c r="J34" i="424"/>
  <c r="K34" i="424"/>
  <c r="E35" i="424"/>
  <c r="J35" i="424"/>
  <c r="K35" i="424"/>
  <c r="E36" i="424"/>
  <c r="K36" i="424"/>
  <c r="E37" i="424"/>
  <c r="K37" i="424"/>
  <c r="L34" i="424"/>
  <c r="L38" i="424"/>
  <c r="J56" i="424"/>
  <c r="J58" i="424"/>
  <c r="J59" i="424"/>
  <c r="J60" i="424"/>
  <c r="J61" i="424"/>
  <c r="J62" i="424"/>
  <c r="J63" i="424"/>
  <c r="L53" i="424"/>
  <c r="L65" i="424"/>
  <c r="L66" i="424"/>
  <c r="J64" i="424"/>
  <c r="L43" i="424"/>
  <c r="L21" i="424"/>
  <c r="L20" i="424"/>
  <c r="L15" i="424"/>
  <c r="L11" i="424"/>
  <c r="L10" i="424"/>
  <c r="L52" i="423"/>
  <c r="J53" i="423"/>
  <c r="J54" i="423"/>
  <c r="J55" i="423"/>
  <c r="B26" i="423"/>
  <c r="E26" i="423"/>
  <c r="K26" i="423"/>
  <c r="E27" i="423"/>
  <c r="K27" i="423"/>
  <c r="E28" i="423"/>
  <c r="K28" i="423"/>
  <c r="K29" i="423"/>
  <c r="L26" i="423"/>
  <c r="E30" i="423"/>
  <c r="J30" i="423"/>
  <c r="K30" i="423"/>
  <c r="E31" i="423"/>
  <c r="J31" i="423"/>
  <c r="K31" i="423"/>
  <c r="E32" i="423"/>
  <c r="J32" i="423"/>
  <c r="K32" i="423"/>
  <c r="E33" i="423"/>
  <c r="J33" i="423"/>
  <c r="K33" i="423"/>
  <c r="L30" i="423"/>
  <c r="E34" i="423"/>
  <c r="J34" i="423"/>
  <c r="K34" i="423"/>
  <c r="E35" i="423"/>
  <c r="J35" i="423"/>
  <c r="K35" i="423"/>
  <c r="E36" i="423"/>
  <c r="K36" i="423"/>
  <c r="E37" i="423"/>
  <c r="K37" i="423"/>
  <c r="L34" i="423"/>
  <c r="L38" i="423"/>
  <c r="J56" i="423"/>
  <c r="J58" i="423"/>
  <c r="J59" i="423"/>
  <c r="J60" i="423"/>
  <c r="J61" i="423"/>
  <c r="J62" i="423"/>
  <c r="J63" i="423"/>
  <c r="L53" i="423"/>
  <c r="L65" i="423"/>
  <c r="L66" i="423"/>
  <c r="J64" i="423"/>
  <c r="L43" i="423"/>
  <c r="L21" i="423"/>
  <c r="L20" i="423"/>
  <c r="L15" i="423"/>
  <c r="L11" i="423"/>
  <c r="L10" i="423"/>
  <c r="G15" i="422"/>
  <c r="L52" i="422"/>
  <c r="J53" i="422"/>
  <c r="J54" i="422"/>
  <c r="J55" i="422"/>
  <c r="B26" i="422"/>
  <c r="E26" i="422"/>
  <c r="K26" i="422"/>
  <c r="E27" i="422"/>
  <c r="K27" i="422"/>
  <c r="E28" i="422"/>
  <c r="K28" i="422"/>
  <c r="K29" i="422"/>
  <c r="L26" i="422"/>
  <c r="E30" i="422"/>
  <c r="J30" i="422"/>
  <c r="K30" i="422"/>
  <c r="E31" i="422"/>
  <c r="J31" i="422"/>
  <c r="K31" i="422"/>
  <c r="E32" i="422"/>
  <c r="J32" i="422"/>
  <c r="K32" i="422"/>
  <c r="E33" i="422"/>
  <c r="J33" i="422"/>
  <c r="K33" i="422"/>
  <c r="L30" i="422"/>
  <c r="E34" i="422"/>
  <c r="J34" i="422"/>
  <c r="K34" i="422"/>
  <c r="E35" i="422"/>
  <c r="J35" i="422"/>
  <c r="K35" i="422"/>
  <c r="E36" i="422"/>
  <c r="K36" i="422"/>
  <c r="C37" i="422"/>
  <c r="E37" i="422"/>
  <c r="K37" i="422"/>
  <c r="L34" i="422"/>
  <c r="L38" i="422"/>
  <c r="J56" i="422"/>
  <c r="J58" i="422"/>
  <c r="J59" i="422"/>
  <c r="J60" i="422"/>
  <c r="J61" i="422"/>
  <c r="J62" i="422"/>
  <c r="J63" i="422"/>
  <c r="L53" i="422"/>
  <c r="L65" i="422"/>
  <c r="L66" i="422"/>
  <c r="J64" i="422"/>
  <c r="L43" i="422"/>
  <c r="L21" i="422"/>
  <c r="L20" i="422"/>
  <c r="L15" i="422"/>
  <c r="L11" i="422"/>
  <c r="L10" i="422"/>
  <c r="G15" i="421"/>
  <c r="J62" i="421"/>
  <c r="J63" i="421"/>
  <c r="J60" i="421"/>
  <c r="J59" i="421"/>
  <c r="J61" i="421"/>
  <c r="J54" i="421"/>
  <c r="J53" i="421"/>
  <c r="L52" i="421"/>
  <c r="L43" i="421"/>
  <c r="C37" i="421"/>
  <c r="E37" i="421"/>
  <c r="K37" i="421"/>
  <c r="E36" i="421"/>
  <c r="K36" i="421"/>
  <c r="J35" i="421"/>
  <c r="E35" i="421"/>
  <c r="K35" i="421"/>
  <c r="J34" i="421"/>
  <c r="E34" i="421"/>
  <c r="K34" i="421"/>
  <c r="J33" i="421"/>
  <c r="E33" i="421"/>
  <c r="K33" i="421"/>
  <c r="J32" i="421"/>
  <c r="E32" i="421"/>
  <c r="K32" i="421"/>
  <c r="J31" i="421"/>
  <c r="K31" i="421"/>
  <c r="E31" i="421"/>
  <c r="J30" i="421"/>
  <c r="K30" i="421"/>
  <c r="L30" i="421"/>
  <c r="E30" i="421"/>
  <c r="K29" i="421"/>
  <c r="E28" i="421"/>
  <c r="K28" i="421"/>
  <c r="E27" i="421"/>
  <c r="K27" i="421"/>
  <c r="B26" i="421"/>
  <c r="E26" i="421"/>
  <c r="K26" i="421"/>
  <c r="L21" i="421"/>
  <c r="L20" i="421"/>
  <c r="L15" i="421"/>
  <c r="L11" i="421"/>
  <c r="L10" i="421"/>
  <c r="J55" i="421"/>
  <c r="L26" i="421"/>
  <c r="L34" i="421"/>
  <c r="J62" i="420"/>
  <c r="J63" i="420"/>
  <c r="J60" i="420"/>
  <c r="J59" i="420"/>
  <c r="J61" i="420"/>
  <c r="J54" i="420"/>
  <c r="J53" i="420"/>
  <c r="L52" i="420"/>
  <c r="L43" i="420"/>
  <c r="C37" i="420"/>
  <c r="E37" i="420"/>
  <c r="K37" i="420"/>
  <c r="E36" i="420"/>
  <c r="K36" i="420"/>
  <c r="J35" i="420"/>
  <c r="K35" i="420"/>
  <c r="E35" i="420"/>
  <c r="J34" i="420"/>
  <c r="E34" i="420"/>
  <c r="K34" i="420"/>
  <c r="J33" i="420"/>
  <c r="E33" i="420"/>
  <c r="K33" i="420"/>
  <c r="J32" i="420"/>
  <c r="E32" i="420"/>
  <c r="K32" i="420"/>
  <c r="K31" i="420"/>
  <c r="J31" i="420"/>
  <c r="E31" i="420"/>
  <c r="J30" i="420"/>
  <c r="K30" i="420"/>
  <c r="L30" i="420"/>
  <c r="E30" i="420"/>
  <c r="K29" i="420"/>
  <c r="C29" i="420"/>
  <c r="E28" i="420"/>
  <c r="K28" i="420"/>
  <c r="E27" i="420"/>
  <c r="K27" i="420"/>
  <c r="B26" i="420"/>
  <c r="E26" i="420"/>
  <c r="K26" i="420"/>
  <c r="L26" i="420"/>
  <c r="L21" i="420"/>
  <c r="L20" i="420"/>
  <c r="L15" i="420"/>
  <c r="L11" i="420"/>
  <c r="L10" i="420"/>
  <c r="L38" i="421"/>
  <c r="J56" i="421"/>
  <c r="J58" i="421"/>
  <c r="J55" i="420"/>
  <c r="L34" i="420"/>
  <c r="L38" i="420"/>
  <c r="J56" i="420"/>
  <c r="J58" i="420"/>
  <c r="J62" i="419"/>
  <c r="J63" i="419"/>
  <c r="J60" i="419"/>
  <c r="J59" i="419"/>
  <c r="J61" i="419"/>
  <c r="J54" i="419"/>
  <c r="J53" i="419"/>
  <c r="L52" i="419"/>
  <c r="L43" i="419"/>
  <c r="C37" i="419"/>
  <c r="E37" i="419"/>
  <c r="K37" i="419"/>
  <c r="E36" i="419"/>
  <c r="K36" i="419"/>
  <c r="J35" i="419"/>
  <c r="K35" i="419"/>
  <c r="E35" i="419"/>
  <c r="J34" i="419"/>
  <c r="E34" i="419"/>
  <c r="K34" i="419"/>
  <c r="J33" i="419"/>
  <c r="E33" i="419"/>
  <c r="K33" i="419"/>
  <c r="J32" i="419"/>
  <c r="E32" i="419"/>
  <c r="K32" i="419"/>
  <c r="K31" i="419"/>
  <c r="J31" i="419"/>
  <c r="E31" i="419"/>
  <c r="J30" i="419"/>
  <c r="E30" i="419"/>
  <c r="K30" i="419"/>
  <c r="L30" i="419"/>
  <c r="K29" i="419"/>
  <c r="C29" i="419"/>
  <c r="E28" i="419"/>
  <c r="K28" i="419"/>
  <c r="E27" i="419"/>
  <c r="K27" i="419"/>
  <c r="B26" i="419"/>
  <c r="E26" i="419"/>
  <c r="K26" i="419"/>
  <c r="L26" i="419"/>
  <c r="L21" i="419"/>
  <c r="L20" i="419"/>
  <c r="L15" i="419"/>
  <c r="L11" i="419"/>
  <c r="L10" i="419"/>
  <c r="J64" i="421"/>
  <c r="L53" i="421"/>
  <c r="L65" i="421"/>
  <c r="L66" i="421"/>
  <c r="L53" i="420"/>
  <c r="L65" i="420"/>
  <c r="L66" i="420"/>
  <c r="J64" i="420"/>
  <c r="J55" i="419"/>
  <c r="L34" i="419"/>
  <c r="L38" i="419"/>
  <c r="J56" i="419"/>
  <c r="J58" i="419"/>
  <c r="C29" i="418"/>
  <c r="G15" i="418"/>
  <c r="L53" i="419"/>
  <c r="L65" i="419"/>
  <c r="L66" i="419"/>
  <c r="J64" i="419"/>
  <c r="J62" i="418"/>
  <c r="J63" i="418"/>
  <c r="J60" i="418"/>
  <c r="J59" i="418"/>
  <c r="J61" i="418"/>
  <c r="J54" i="418"/>
  <c r="J53" i="418"/>
  <c r="L52" i="418"/>
  <c r="L43" i="418"/>
  <c r="C37" i="418"/>
  <c r="E37" i="418"/>
  <c r="K37" i="418"/>
  <c r="E36" i="418"/>
  <c r="K36" i="418"/>
  <c r="J35" i="418"/>
  <c r="K35" i="418"/>
  <c r="E35" i="418"/>
  <c r="J34" i="418"/>
  <c r="E34" i="418"/>
  <c r="K34" i="418"/>
  <c r="J33" i="418"/>
  <c r="E33" i="418"/>
  <c r="K33" i="418"/>
  <c r="J32" i="418"/>
  <c r="E32" i="418"/>
  <c r="K32" i="418"/>
  <c r="K31" i="418"/>
  <c r="J31" i="418"/>
  <c r="E31" i="418"/>
  <c r="J30" i="418"/>
  <c r="E30" i="418"/>
  <c r="K30" i="418"/>
  <c r="K29" i="418"/>
  <c r="E28" i="418"/>
  <c r="K28" i="418"/>
  <c r="E27" i="418"/>
  <c r="K27" i="418"/>
  <c r="E26" i="418"/>
  <c r="K26" i="418"/>
  <c r="B26" i="418"/>
  <c r="L21" i="418"/>
  <c r="L20" i="418"/>
  <c r="L15" i="418"/>
  <c r="L11" i="418"/>
  <c r="L10" i="418"/>
  <c r="J55" i="418"/>
  <c r="L26" i="418"/>
  <c r="L30" i="418"/>
  <c r="L34" i="418"/>
  <c r="L38" i="418"/>
  <c r="J56" i="418"/>
  <c r="J58" i="418"/>
  <c r="L53" i="418"/>
  <c r="L65" i="418"/>
  <c r="L66" i="418"/>
  <c r="J64" i="418"/>
  <c r="J63" i="417"/>
  <c r="J62" i="417"/>
  <c r="J60" i="417"/>
  <c r="J59" i="417"/>
  <c r="J61" i="417"/>
  <c r="J54" i="417"/>
  <c r="J53" i="417"/>
  <c r="L52" i="417"/>
  <c r="L43" i="417"/>
  <c r="C37" i="417"/>
  <c r="E37" i="417"/>
  <c r="K37" i="417"/>
  <c r="E36" i="417"/>
  <c r="K36" i="417"/>
  <c r="J35" i="417"/>
  <c r="E35" i="417"/>
  <c r="K35" i="417"/>
  <c r="J34" i="417"/>
  <c r="E34" i="417"/>
  <c r="K34" i="417"/>
  <c r="J33" i="417"/>
  <c r="E33" i="417"/>
  <c r="K33" i="417"/>
  <c r="J32" i="417"/>
  <c r="E32" i="417"/>
  <c r="K32" i="417"/>
  <c r="J31" i="417"/>
  <c r="K31" i="417"/>
  <c r="E31" i="417"/>
  <c r="J30" i="417"/>
  <c r="E30" i="417"/>
  <c r="K30" i="417"/>
  <c r="L30" i="417"/>
  <c r="K29" i="417"/>
  <c r="E28" i="417"/>
  <c r="K28" i="417"/>
  <c r="E27" i="417"/>
  <c r="K27" i="417"/>
  <c r="B26" i="417"/>
  <c r="E26" i="417"/>
  <c r="K26" i="417"/>
  <c r="L21" i="417"/>
  <c r="L20" i="417"/>
  <c r="L15" i="417"/>
  <c r="L11" i="417"/>
  <c r="L10" i="417"/>
  <c r="J55" i="417"/>
  <c r="L26" i="417"/>
  <c r="L34" i="417"/>
  <c r="J62" i="416"/>
  <c r="J63" i="416"/>
  <c r="J60" i="416"/>
  <c r="J59" i="416"/>
  <c r="J61" i="416"/>
  <c r="J54" i="416"/>
  <c r="J53" i="416"/>
  <c r="L52" i="416"/>
  <c r="L43" i="416"/>
  <c r="C37" i="416"/>
  <c r="E37" i="416"/>
  <c r="K37" i="416"/>
  <c r="E36" i="416"/>
  <c r="K36" i="416"/>
  <c r="K35" i="416"/>
  <c r="J35" i="416"/>
  <c r="E35" i="416"/>
  <c r="J34" i="416"/>
  <c r="E34" i="416"/>
  <c r="K34" i="416"/>
  <c r="J33" i="416"/>
  <c r="E33" i="416"/>
  <c r="K33" i="416"/>
  <c r="J32" i="416"/>
  <c r="E32" i="416"/>
  <c r="K32" i="416"/>
  <c r="K31" i="416"/>
  <c r="J31" i="416"/>
  <c r="E31" i="416"/>
  <c r="J30" i="416"/>
  <c r="E30" i="416"/>
  <c r="K30" i="416"/>
  <c r="L30" i="416"/>
  <c r="K29" i="416"/>
  <c r="E28" i="416"/>
  <c r="K28" i="416"/>
  <c r="E27" i="416"/>
  <c r="K27" i="416"/>
  <c r="B26" i="416"/>
  <c r="E26" i="416"/>
  <c r="K26" i="416"/>
  <c r="L21" i="416"/>
  <c r="L20" i="416"/>
  <c r="L15" i="416"/>
  <c r="L11" i="416"/>
  <c r="L10" i="416"/>
  <c r="L38" i="417"/>
  <c r="J56" i="417"/>
  <c r="J58" i="417"/>
  <c r="L26" i="416"/>
  <c r="L38" i="416"/>
  <c r="J56" i="416"/>
  <c r="J58" i="416"/>
  <c r="J55" i="416"/>
  <c r="L34" i="416"/>
  <c r="C29" i="415"/>
  <c r="J64" i="417"/>
  <c r="L53" i="417"/>
  <c r="L65" i="417"/>
  <c r="L66" i="417"/>
  <c r="L53" i="416"/>
  <c r="L65" i="416"/>
  <c r="L66" i="416"/>
  <c r="J64" i="416"/>
  <c r="J62" i="415"/>
  <c r="J63" i="415"/>
  <c r="J60" i="415"/>
  <c r="J59" i="415"/>
  <c r="J61" i="415"/>
  <c r="J54" i="415"/>
  <c r="J53" i="415"/>
  <c r="L52" i="415"/>
  <c r="L43" i="415"/>
  <c r="C37" i="415"/>
  <c r="E37" i="415"/>
  <c r="K37" i="415"/>
  <c r="E36" i="415"/>
  <c r="K36" i="415"/>
  <c r="J35" i="415"/>
  <c r="K35" i="415"/>
  <c r="E35" i="415"/>
  <c r="J34" i="415"/>
  <c r="E34" i="415"/>
  <c r="K34" i="415"/>
  <c r="J33" i="415"/>
  <c r="E33" i="415"/>
  <c r="K33" i="415"/>
  <c r="J32" i="415"/>
  <c r="E32" i="415"/>
  <c r="K32" i="415"/>
  <c r="K31" i="415"/>
  <c r="J31" i="415"/>
  <c r="E31" i="415"/>
  <c r="J30" i="415"/>
  <c r="E30" i="415"/>
  <c r="K30" i="415"/>
  <c r="L30" i="415"/>
  <c r="K29" i="415"/>
  <c r="E28" i="415"/>
  <c r="K28" i="415"/>
  <c r="E27" i="415"/>
  <c r="K27" i="415"/>
  <c r="B26" i="415"/>
  <c r="E26" i="415"/>
  <c r="K26" i="415"/>
  <c r="L21" i="415"/>
  <c r="L20" i="415"/>
  <c r="L15" i="415"/>
  <c r="L11" i="415"/>
  <c r="L10" i="415"/>
  <c r="L26" i="415"/>
  <c r="J55" i="415"/>
  <c r="L34" i="415"/>
  <c r="L38" i="415"/>
  <c r="J56" i="415"/>
  <c r="J58" i="415"/>
  <c r="C37" i="414"/>
  <c r="L52" i="414"/>
  <c r="J53" i="414"/>
  <c r="J54" i="414"/>
  <c r="J55" i="414"/>
  <c r="B26" i="414"/>
  <c r="E26" i="414"/>
  <c r="K26" i="414"/>
  <c r="E27" i="414"/>
  <c r="K27" i="414"/>
  <c r="E28" i="414"/>
  <c r="K28" i="414"/>
  <c r="K29" i="414"/>
  <c r="L26" i="414"/>
  <c r="E30" i="414"/>
  <c r="J30" i="414"/>
  <c r="K30" i="414"/>
  <c r="E31" i="414"/>
  <c r="J31" i="414"/>
  <c r="K31" i="414"/>
  <c r="E32" i="414"/>
  <c r="J32" i="414"/>
  <c r="K32" i="414"/>
  <c r="E33" i="414"/>
  <c r="J33" i="414"/>
  <c r="K33" i="414"/>
  <c r="L30" i="414"/>
  <c r="E34" i="414"/>
  <c r="J34" i="414"/>
  <c r="K34" i="414"/>
  <c r="E35" i="414"/>
  <c r="J35" i="414"/>
  <c r="K35" i="414"/>
  <c r="E36" i="414"/>
  <c r="K36" i="414"/>
  <c r="E37" i="414"/>
  <c r="K37" i="414"/>
  <c r="L34" i="414"/>
  <c r="L38" i="414"/>
  <c r="J56" i="414"/>
  <c r="J58" i="414"/>
  <c r="J59" i="414"/>
  <c r="J60" i="414"/>
  <c r="J61" i="414"/>
  <c r="J62" i="414"/>
  <c r="J63" i="414"/>
  <c r="L53" i="414"/>
  <c r="L65" i="414"/>
  <c r="L66" i="414"/>
  <c r="J64" i="414"/>
  <c r="L43" i="414"/>
  <c r="L21" i="414"/>
  <c r="L20" i="414"/>
  <c r="L15" i="414"/>
  <c r="L11" i="414"/>
  <c r="L10" i="414"/>
  <c r="L52" i="413"/>
  <c r="J53" i="413"/>
  <c r="J54" i="413"/>
  <c r="J55" i="413"/>
  <c r="B26" i="413"/>
  <c r="E26" i="413"/>
  <c r="K26" i="413"/>
  <c r="E27" i="413"/>
  <c r="K27" i="413"/>
  <c r="E28" i="413"/>
  <c r="K28" i="413"/>
  <c r="K29" i="413"/>
  <c r="L26" i="413"/>
  <c r="E30" i="413"/>
  <c r="J30" i="413"/>
  <c r="K30" i="413"/>
  <c r="E31" i="413"/>
  <c r="J31" i="413"/>
  <c r="K31" i="413"/>
  <c r="E32" i="413"/>
  <c r="J32" i="413"/>
  <c r="K32" i="413"/>
  <c r="E33" i="413"/>
  <c r="J33" i="413"/>
  <c r="K33" i="413"/>
  <c r="L30" i="413"/>
  <c r="E34" i="413"/>
  <c r="J34" i="413"/>
  <c r="K34" i="413"/>
  <c r="E35" i="413"/>
  <c r="J35" i="413"/>
  <c r="K35" i="413"/>
  <c r="E36" i="413"/>
  <c r="K36" i="413"/>
  <c r="E37" i="413"/>
  <c r="K37" i="413"/>
  <c r="L34" i="413"/>
  <c r="L38" i="413"/>
  <c r="J56" i="413"/>
  <c r="J58" i="413"/>
  <c r="J59" i="413"/>
  <c r="J60" i="413"/>
  <c r="J61" i="413"/>
  <c r="J62" i="413"/>
  <c r="J63" i="413"/>
  <c r="L53" i="413"/>
  <c r="L65" i="413"/>
  <c r="L66" i="413"/>
  <c r="J64" i="413"/>
  <c r="L43" i="413"/>
  <c r="L21" i="413"/>
  <c r="L20" i="413"/>
  <c r="L15" i="413"/>
  <c r="L11" i="413"/>
  <c r="L10" i="413"/>
  <c r="L52" i="412"/>
  <c r="J53" i="412"/>
  <c r="J54" i="412"/>
  <c r="J55" i="412"/>
  <c r="B26" i="412"/>
  <c r="E26" i="412"/>
  <c r="K26" i="412"/>
  <c r="E27" i="412"/>
  <c r="K27" i="412"/>
  <c r="E28" i="412"/>
  <c r="K28" i="412"/>
  <c r="K29" i="412"/>
  <c r="L26" i="412"/>
  <c r="E30" i="412"/>
  <c r="J30" i="412"/>
  <c r="K30" i="412"/>
  <c r="E31" i="412"/>
  <c r="J31" i="412"/>
  <c r="K31" i="412"/>
  <c r="E32" i="412"/>
  <c r="J32" i="412"/>
  <c r="K32" i="412"/>
  <c r="E33" i="412"/>
  <c r="J33" i="412"/>
  <c r="K33" i="412"/>
  <c r="L30" i="412"/>
  <c r="E34" i="412"/>
  <c r="J34" i="412"/>
  <c r="K34" i="412"/>
  <c r="E35" i="412"/>
  <c r="J35" i="412"/>
  <c r="K35" i="412"/>
  <c r="E36" i="412"/>
  <c r="K36" i="412"/>
  <c r="E37" i="412"/>
  <c r="K37" i="412"/>
  <c r="L34" i="412"/>
  <c r="L38" i="412"/>
  <c r="J56" i="412"/>
  <c r="J58" i="412"/>
  <c r="J59" i="412"/>
  <c r="J60" i="412"/>
  <c r="J61" i="412"/>
  <c r="J62" i="412"/>
  <c r="J63" i="412"/>
  <c r="L53" i="412"/>
  <c r="L65" i="412"/>
  <c r="L66" i="412"/>
  <c r="J64" i="412"/>
  <c r="L43" i="412"/>
  <c r="L21" i="412"/>
  <c r="L20" i="412"/>
  <c r="L15" i="412"/>
  <c r="L11" i="412"/>
  <c r="L10" i="412"/>
  <c r="G15" i="411"/>
  <c r="L52" i="411"/>
  <c r="J53" i="411"/>
  <c r="J54" i="411"/>
  <c r="J55" i="411"/>
  <c r="B26" i="411"/>
  <c r="E26" i="411"/>
  <c r="K26" i="411"/>
  <c r="E27" i="411"/>
  <c r="K27" i="411"/>
  <c r="E28" i="411"/>
  <c r="K28" i="411"/>
  <c r="K29" i="411"/>
  <c r="L26" i="411"/>
  <c r="E30" i="411"/>
  <c r="J30" i="411"/>
  <c r="K30" i="411"/>
  <c r="E31" i="411"/>
  <c r="J31" i="411"/>
  <c r="K31" i="411"/>
  <c r="E32" i="411"/>
  <c r="J32" i="411"/>
  <c r="K32" i="411"/>
  <c r="E33" i="411"/>
  <c r="J33" i="411"/>
  <c r="K33" i="411"/>
  <c r="L30" i="411"/>
  <c r="E34" i="411"/>
  <c r="J34" i="411"/>
  <c r="K34" i="411"/>
  <c r="E35" i="411"/>
  <c r="J35" i="411"/>
  <c r="K35" i="411"/>
  <c r="E36" i="411"/>
  <c r="K36" i="411"/>
  <c r="E37" i="411"/>
  <c r="K37" i="411"/>
  <c r="L34" i="411"/>
  <c r="L38" i="411"/>
  <c r="J56" i="411"/>
  <c r="J58" i="411"/>
  <c r="J59" i="411"/>
  <c r="J60" i="411"/>
  <c r="J61" i="411"/>
  <c r="J62" i="411"/>
  <c r="J63" i="411"/>
  <c r="L53" i="411"/>
  <c r="L65" i="411"/>
  <c r="L66" i="411"/>
  <c r="J64" i="411"/>
  <c r="L43" i="411"/>
  <c r="L21" i="411"/>
  <c r="L20" i="411"/>
  <c r="L15" i="411"/>
  <c r="L11" i="411"/>
  <c r="L10" i="411"/>
  <c r="L52" i="410"/>
  <c r="J53" i="410"/>
  <c r="J54" i="410"/>
  <c r="J55" i="410"/>
  <c r="B26" i="410"/>
  <c r="E26" i="410"/>
  <c r="K26" i="410"/>
  <c r="E27" i="410"/>
  <c r="K27" i="410"/>
  <c r="E28" i="410"/>
  <c r="K28" i="410"/>
  <c r="K29" i="410"/>
  <c r="L26" i="410"/>
  <c r="E30" i="410"/>
  <c r="J30" i="410"/>
  <c r="K30" i="410"/>
  <c r="E31" i="410"/>
  <c r="J31" i="410"/>
  <c r="K31" i="410"/>
  <c r="E32" i="410"/>
  <c r="J32" i="410"/>
  <c r="K32" i="410"/>
  <c r="E33" i="410"/>
  <c r="J33" i="410"/>
  <c r="K33" i="410"/>
  <c r="L30" i="410"/>
  <c r="E34" i="410"/>
  <c r="J34" i="410"/>
  <c r="K34" i="410"/>
  <c r="E35" i="410"/>
  <c r="J35" i="410"/>
  <c r="K35" i="410"/>
  <c r="E36" i="410"/>
  <c r="K36" i="410"/>
  <c r="E37" i="410"/>
  <c r="K37" i="410"/>
  <c r="L34" i="410"/>
  <c r="L38" i="410"/>
  <c r="J56" i="410"/>
  <c r="J58" i="410"/>
  <c r="J59" i="410"/>
  <c r="J60" i="410"/>
  <c r="J61" i="410"/>
  <c r="J62" i="410"/>
  <c r="J63" i="410"/>
  <c r="L53" i="410"/>
  <c r="L65" i="410"/>
  <c r="L66" i="410"/>
  <c r="J64" i="410"/>
  <c r="L43" i="410"/>
  <c r="L21" i="410"/>
  <c r="L20" i="410"/>
  <c r="L15" i="410"/>
  <c r="L11" i="410"/>
  <c r="L10" i="410"/>
  <c r="L52" i="409"/>
  <c r="J53" i="409"/>
  <c r="J54" i="409"/>
  <c r="J55" i="409"/>
  <c r="B26" i="409"/>
  <c r="E26" i="409"/>
  <c r="K26" i="409"/>
  <c r="E27" i="409"/>
  <c r="K27" i="409"/>
  <c r="E28" i="409"/>
  <c r="K28" i="409"/>
  <c r="K29" i="409"/>
  <c r="L26" i="409"/>
  <c r="E30" i="409"/>
  <c r="J30" i="409"/>
  <c r="K30" i="409"/>
  <c r="E31" i="409"/>
  <c r="J31" i="409"/>
  <c r="K31" i="409"/>
  <c r="E32" i="409"/>
  <c r="J32" i="409"/>
  <c r="K32" i="409"/>
  <c r="E33" i="409"/>
  <c r="J33" i="409"/>
  <c r="K33" i="409"/>
  <c r="L30" i="409"/>
  <c r="E34" i="409"/>
  <c r="J34" i="409"/>
  <c r="K34" i="409"/>
  <c r="E35" i="409"/>
  <c r="J35" i="409"/>
  <c r="K35" i="409"/>
  <c r="E36" i="409"/>
  <c r="K36" i="409"/>
  <c r="E37" i="409"/>
  <c r="K37" i="409"/>
  <c r="L34" i="409"/>
  <c r="L38" i="409"/>
  <c r="J56" i="409"/>
  <c r="J58" i="409"/>
  <c r="J59" i="409"/>
  <c r="J60" i="409"/>
  <c r="J61" i="409"/>
  <c r="J62" i="409"/>
  <c r="J63" i="409"/>
  <c r="L53" i="409"/>
  <c r="L65" i="409"/>
  <c r="L66" i="409"/>
  <c r="J64" i="409"/>
  <c r="L43" i="409"/>
  <c r="L21" i="409"/>
  <c r="L20" i="409"/>
  <c r="L15" i="409"/>
  <c r="L11" i="409"/>
  <c r="L10" i="409"/>
  <c r="L52" i="408"/>
  <c r="J53" i="408"/>
  <c r="J54" i="408"/>
  <c r="J55" i="408"/>
  <c r="B26" i="408"/>
  <c r="E26" i="408"/>
  <c r="K26" i="408"/>
  <c r="E27" i="408"/>
  <c r="K27" i="408"/>
  <c r="E28" i="408"/>
  <c r="K28" i="408"/>
  <c r="K29" i="408"/>
  <c r="L26" i="408"/>
  <c r="E30" i="408"/>
  <c r="J30" i="408"/>
  <c r="K30" i="408"/>
  <c r="E31" i="408"/>
  <c r="J31" i="408"/>
  <c r="K31" i="408"/>
  <c r="E32" i="408"/>
  <c r="J32" i="408"/>
  <c r="K32" i="408"/>
  <c r="E33" i="408"/>
  <c r="J33" i="408"/>
  <c r="K33" i="408"/>
  <c r="L30" i="408"/>
  <c r="E34" i="408"/>
  <c r="J34" i="408"/>
  <c r="K34" i="408"/>
  <c r="E35" i="408"/>
  <c r="J35" i="408"/>
  <c r="K35" i="408"/>
  <c r="E36" i="408"/>
  <c r="K36" i="408"/>
  <c r="E37" i="408"/>
  <c r="K37" i="408"/>
  <c r="L34" i="408"/>
  <c r="L38" i="408"/>
  <c r="J56" i="408"/>
  <c r="J58" i="408"/>
  <c r="J59" i="408"/>
  <c r="J60" i="408"/>
  <c r="J61" i="408"/>
  <c r="J62" i="408"/>
  <c r="J63" i="408"/>
  <c r="L53" i="408"/>
  <c r="L65" i="408"/>
  <c r="L66" i="408"/>
  <c r="J64" i="408"/>
  <c r="L43" i="408"/>
  <c r="L21" i="408"/>
  <c r="L20" i="408"/>
  <c r="L15" i="408"/>
  <c r="L11" i="408"/>
  <c r="L10" i="408"/>
  <c r="L52" i="407"/>
  <c r="J53" i="407"/>
  <c r="J54" i="407"/>
  <c r="J55" i="407"/>
  <c r="B26" i="407"/>
  <c r="E26" i="407"/>
  <c r="K26" i="407"/>
  <c r="E27" i="407"/>
  <c r="K27" i="407"/>
  <c r="E28" i="407"/>
  <c r="K28" i="407"/>
  <c r="K29" i="407"/>
  <c r="L26" i="407"/>
  <c r="E30" i="407"/>
  <c r="J30" i="407"/>
  <c r="K30" i="407"/>
  <c r="E31" i="407"/>
  <c r="J31" i="407"/>
  <c r="K31" i="407"/>
  <c r="E32" i="407"/>
  <c r="J32" i="407"/>
  <c r="K32" i="407"/>
  <c r="C33" i="407"/>
  <c r="E33" i="407"/>
  <c r="J33" i="407"/>
  <c r="K33" i="407"/>
  <c r="L30" i="407"/>
  <c r="E34" i="407"/>
  <c r="J34" i="407"/>
  <c r="K34" i="407"/>
  <c r="E35" i="407"/>
  <c r="J35" i="407"/>
  <c r="K35" i="407"/>
  <c r="E36" i="407"/>
  <c r="K36" i="407"/>
  <c r="E37" i="407"/>
  <c r="K37" i="407"/>
  <c r="L34" i="407"/>
  <c r="L38" i="407"/>
  <c r="J56" i="407"/>
  <c r="J58" i="407"/>
  <c r="J59" i="407"/>
  <c r="J60" i="407"/>
  <c r="J61" i="407"/>
  <c r="J62" i="407"/>
  <c r="J63" i="407"/>
  <c r="L53" i="407"/>
  <c r="L65" i="407"/>
  <c r="L66" i="407"/>
  <c r="J64" i="407"/>
  <c r="L43" i="407"/>
  <c r="L21" i="407"/>
  <c r="L20" i="407"/>
  <c r="L15" i="407"/>
  <c r="L11" i="407"/>
  <c r="L10" i="407"/>
  <c r="L52" i="406"/>
  <c r="J53" i="406"/>
  <c r="J54" i="406"/>
  <c r="J55" i="406"/>
  <c r="B26" i="406"/>
  <c r="E26" i="406"/>
  <c r="K26" i="406"/>
  <c r="E27" i="406"/>
  <c r="K27" i="406"/>
  <c r="E28" i="406"/>
  <c r="K28" i="406"/>
  <c r="K29" i="406"/>
  <c r="L26" i="406"/>
  <c r="E30" i="406"/>
  <c r="J30" i="406"/>
  <c r="K30" i="406"/>
  <c r="E31" i="406"/>
  <c r="J31" i="406"/>
  <c r="K31" i="406"/>
  <c r="E32" i="406"/>
  <c r="J32" i="406"/>
  <c r="K32" i="406"/>
  <c r="C33" i="406"/>
  <c r="E33" i="406"/>
  <c r="J33" i="406"/>
  <c r="K33" i="406"/>
  <c r="L30" i="406"/>
  <c r="E34" i="406"/>
  <c r="J34" i="406"/>
  <c r="K34" i="406"/>
  <c r="E35" i="406"/>
  <c r="J35" i="406"/>
  <c r="K35" i="406"/>
  <c r="E36" i="406"/>
  <c r="K36" i="406"/>
  <c r="E37" i="406"/>
  <c r="K37" i="406"/>
  <c r="L34" i="406"/>
  <c r="L38" i="406"/>
  <c r="J56" i="406"/>
  <c r="J58" i="406"/>
  <c r="J59" i="406"/>
  <c r="J60" i="406"/>
  <c r="J61" i="406"/>
  <c r="J62" i="406"/>
  <c r="J63" i="406"/>
  <c r="L53" i="406"/>
  <c r="L65" i="406"/>
  <c r="L66" i="406"/>
  <c r="J64" i="406"/>
  <c r="L43" i="406"/>
  <c r="L21" i="406"/>
  <c r="L20" i="406"/>
  <c r="L15" i="406"/>
  <c r="L11" i="406"/>
  <c r="L10" i="406"/>
  <c r="J64" i="415"/>
  <c r="L53" i="415"/>
  <c r="L65" i="415"/>
  <c r="L66" i="415"/>
</calcChain>
</file>

<file path=xl/sharedStrings.xml><?xml version="1.0" encoding="utf-8"?>
<sst xmlns="http://schemas.openxmlformats.org/spreadsheetml/2006/main" count="2244" uniqueCount="86">
  <si>
    <t>1. 원료 당일 재고 현황</t>
    <phoneticPr fontId="2" type="noConversion"/>
  </si>
  <si>
    <t>단위 : 금액(원)</t>
    <phoneticPr fontId="2" type="noConversion"/>
  </si>
  <si>
    <t>구 분</t>
    <phoneticPr fontId="2" type="noConversion"/>
  </si>
  <si>
    <t>원료 전일재고</t>
    <phoneticPr fontId="2" type="noConversion"/>
  </si>
  <si>
    <t>원료 입고</t>
    <phoneticPr fontId="2" type="noConversion"/>
  </si>
  <si>
    <t>원료 반품</t>
    <phoneticPr fontId="2" type="noConversion"/>
  </si>
  <si>
    <t>원료 불량(폐기)</t>
    <phoneticPr fontId="2" type="noConversion"/>
  </si>
  <si>
    <t>원료 사용량</t>
    <phoneticPr fontId="2" type="noConversion"/>
  </si>
  <si>
    <t>원료 외주 반출</t>
    <phoneticPr fontId="2" type="noConversion"/>
  </si>
  <si>
    <t>원료 현재고</t>
    <phoneticPr fontId="2" type="noConversion"/>
  </si>
  <si>
    <t>비고</t>
    <phoneticPr fontId="2" type="noConversion"/>
  </si>
  <si>
    <t>수 량(kg)</t>
    <phoneticPr fontId="2" type="noConversion"/>
  </si>
  <si>
    <t>금 액(원)</t>
    <phoneticPr fontId="2" type="noConversion"/>
  </si>
  <si>
    <t>2. 부자재 당일 재고 현황</t>
    <phoneticPr fontId="2" type="noConversion"/>
  </si>
  <si>
    <t>부자재 전일재고</t>
    <phoneticPr fontId="2" type="noConversion"/>
  </si>
  <si>
    <t>부자재 입고</t>
    <phoneticPr fontId="2" type="noConversion"/>
  </si>
  <si>
    <t>부자재 반품</t>
    <phoneticPr fontId="2" type="noConversion"/>
  </si>
  <si>
    <t>부자재 불량(폐기)</t>
    <phoneticPr fontId="2" type="noConversion"/>
  </si>
  <si>
    <t>부자재 사용량</t>
    <phoneticPr fontId="2" type="noConversion"/>
  </si>
  <si>
    <t>부자재 외주 반출</t>
    <phoneticPr fontId="2" type="noConversion"/>
  </si>
  <si>
    <t>부자재 현재고</t>
    <phoneticPr fontId="2" type="noConversion"/>
  </si>
  <si>
    <t>수 량(ea)</t>
    <phoneticPr fontId="2" type="noConversion"/>
  </si>
  <si>
    <t>3. 완제품 당일 재고 현황</t>
    <phoneticPr fontId="2" type="noConversion"/>
  </si>
  <si>
    <t>완제품 전일재고</t>
    <phoneticPr fontId="2" type="noConversion"/>
  </si>
  <si>
    <t>완제품 생산</t>
    <phoneticPr fontId="2" type="noConversion"/>
  </si>
  <si>
    <t>완제품 생산(외주)</t>
    <phoneticPr fontId="2" type="noConversion"/>
  </si>
  <si>
    <t>완제품 불량(폐기)</t>
    <phoneticPr fontId="2" type="noConversion"/>
  </si>
  <si>
    <t>완제품 출하</t>
    <phoneticPr fontId="2" type="noConversion"/>
  </si>
  <si>
    <t>완제품 반품</t>
    <phoneticPr fontId="2" type="noConversion"/>
  </si>
  <si>
    <t>완제품 현재고</t>
    <phoneticPr fontId="2" type="noConversion"/>
  </si>
  <si>
    <t>4. 당일 인건비 현황(정규직, 일용직)</t>
    <phoneticPr fontId="2" type="noConversion"/>
  </si>
  <si>
    <t>구 분</t>
  </si>
  <si>
    <t>인원소계</t>
    <phoneticPr fontId="2" type="noConversion"/>
  </si>
  <si>
    <t>근무시간</t>
    <phoneticPr fontId="2" type="noConversion"/>
  </si>
  <si>
    <t>금 액</t>
    <phoneticPr fontId="2" type="noConversion"/>
  </si>
  <si>
    <t>합계</t>
    <phoneticPr fontId="2" type="noConversion"/>
  </si>
  <si>
    <t>여</t>
  </si>
  <si>
    <t>생산(일용직-여)주간</t>
    <phoneticPr fontId="2" type="noConversion"/>
  </si>
  <si>
    <t>5. 당일 경비 현황</t>
    <phoneticPr fontId="2" type="noConversion"/>
  </si>
  <si>
    <t>직접비용</t>
    <phoneticPr fontId="2" type="noConversion"/>
  </si>
  <si>
    <t>간접비용</t>
    <phoneticPr fontId="2" type="noConversion"/>
  </si>
  <si>
    <t>소 모 품</t>
  </si>
  <si>
    <t>제조경비</t>
  </si>
  <si>
    <t>식 대</t>
  </si>
  <si>
    <t>기 타(전력비외)</t>
  </si>
  <si>
    <t>기타판관 경비(식대외)</t>
  </si>
  <si>
    <t>판관경비</t>
  </si>
  <si>
    <t>감가상각비</t>
  </si>
  <si>
    <t>금융비용</t>
  </si>
  <si>
    <t>6. 생산금액</t>
    <phoneticPr fontId="2" type="noConversion"/>
  </si>
  <si>
    <t>구  분</t>
    <phoneticPr fontId="2" type="noConversion"/>
  </si>
  <si>
    <t>금액</t>
    <phoneticPr fontId="2" type="noConversion"/>
  </si>
  <si>
    <t>납품단가</t>
    <phoneticPr fontId="2" type="noConversion"/>
  </si>
  <si>
    <t>생산원가</t>
    <phoneticPr fontId="2" type="noConversion"/>
  </si>
  <si>
    <t>재료비</t>
    <phoneticPr fontId="2" type="noConversion"/>
  </si>
  <si>
    <t>원재료비</t>
    <phoneticPr fontId="2" type="noConversion"/>
  </si>
  <si>
    <t>부재료비</t>
    <phoneticPr fontId="2" type="noConversion"/>
  </si>
  <si>
    <t>소  계</t>
    <phoneticPr fontId="2" type="noConversion"/>
  </si>
  <si>
    <t>노무비</t>
    <phoneticPr fontId="2" type="noConversion"/>
  </si>
  <si>
    <t>직접인건비</t>
    <phoneticPr fontId="2" type="noConversion"/>
  </si>
  <si>
    <t>간접인건비</t>
    <phoneticPr fontId="2" type="noConversion"/>
  </si>
  <si>
    <t>경비</t>
    <phoneticPr fontId="2" type="noConversion"/>
  </si>
  <si>
    <t>제조경비</t>
    <phoneticPr fontId="2" type="noConversion"/>
  </si>
  <si>
    <t>판관비</t>
    <phoneticPr fontId="2" type="noConversion"/>
  </si>
  <si>
    <t>총  계</t>
    <phoneticPr fontId="2" type="noConversion"/>
  </si>
  <si>
    <t>경상이익(납품단가)-(재료비+노무비+경비)</t>
    <phoneticPr fontId="2" type="noConversion"/>
  </si>
  <si>
    <t>이익률</t>
    <phoneticPr fontId="2" type="noConversion"/>
  </si>
  <si>
    <t>외주 생산 비용</t>
    <phoneticPr fontId="2" type="noConversion"/>
  </si>
  <si>
    <t>원료 외주가공비</t>
    <phoneticPr fontId="2" type="noConversion"/>
  </si>
  <si>
    <t>부자재 외주가공비</t>
    <phoneticPr fontId="2" type="noConversion"/>
  </si>
  <si>
    <t>완제품 외주가공비</t>
    <phoneticPr fontId="2" type="noConversion"/>
  </si>
  <si>
    <t>일일 손익계산서</t>
    <phoneticPr fontId="2" type="noConversion"/>
  </si>
  <si>
    <t xml:space="preserve"> </t>
    <phoneticPr fontId="2" type="noConversion"/>
  </si>
  <si>
    <t>생산(정규직)주간잔업</t>
    <phoneticPr fontId="2" type="noConversion"/>
  </si>
  <si>
    <t>생산(일용직-여)주간잔업</t>
    <phoneticPr fontId="2" type="noConversion"/>
  </si>
  <si>
    <t>남</t>
    <phoneticPr fontId="2" type="noConversion"/>
  </si>
  <si>
    <t>생산(정규직) 야간</t>
    <phoneticPr fontId="2" type="noConversion"/>
  </si>
  <si>
    <t>생산(관리)주간</t>
    <phoneticPr fontId="2" type="noConversion"/>
  </si>
  <si>
    <t>생산(정규직)주간</t>
    <phoneticPr fontId="2" type="noConversion"/>
  </si>
  <si>
    <t>생산(일용직-남)주간</t>
    <phoneticPr fontId="2" type="noConversion"/>
  </si>
  <si>
    <t>생산(관리)주간잔업</t>
    <phoneticPr fontId="2" type="noConversion"/>
  </si>
  <si>
    <t>생산(일용직-남)주간잔업</t>
    <phoneticPr fontId="2" type="noConversion"/>
  </si>
  <si>
    <t>생산(일용직-남) 야간</t>
    <phoneticPr fontId="2" type="noConversion"/>
  </si>
  <si>
    <t>생산(일용직-여) 야간</t>
    <phoneticPr fontId="2" type="noConversion"/>
  </si>
  <si>
    <t>합 계</t>
    <phoneticPr fontId="2" type="noConversion"/>
  </si>
  <si>
    <t>생산(관리) 야간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</si>
</sst>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);[Red]\(#,##0\)"/>
    <numFmt numFmtId="177" formatCode="#,##0_ "/>
    <numFmt numFmtId="178" formatCode="0.0"/>
    <numFmt numFmtId="179" formatCode="_-* #,##0.00_-;\-* #,##0.00_-;_-* &quot;-&quot;_-;_-@_-"/>
  </numFmts>
  <fonts count="13">
    <font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name val="Malgun Gothic"/>
      <family val="3"/>
      <charset val="129"/>
    </font>
    <font>
      <b/>
      <sz val="15"/>
      <color rgb="FF000000"/>
      <name val="맑은 고딕"/>
      <family val="3"/>
      <charset val="129"/>
      <scheme val="major"/>
    </font>
    <font>
      <b/>
      <sz val="13"/>
      <color rgb="FF000000"/>
      <name val="맑은 고딕"/>
      <family val="3"/>
      <charset val="129"/>
      <scheme val="major"/>
    </font>
    <font>
      <b/>
      <sz val="14"/>
      <color rgb="FF000000"/>
      <name val="Malgun Gothic"/>
      <family val="3"/>
      <charset val="129"/>
    </font>
    <font>
      <sz val="12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  <font>
      <b/>
      <sz val="18"/>
      <color rgb="FF000000"/>
      <name val="맑은 고딕"/>
      <family val="3"/>
      <charset val="129"/>
      <scheme val="major"/>
    </font>
    <font>
      <b/>
      <sz val="35"/>
      <color rgb="FF00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336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1" fontId="6" fillId="0" borderId="10" xfId="1" applyFont="1" applyFill="1" applyBorder="1" applyAlignment="1">
      <alignment horizontal="right" vertical="center" wrapText="1"/>
    </xf>
    <xf numFmtId="41" fontId="6" fillId="0" borderId="11" xfId="1" applyFont="1" applyFill="1" applyBorder="1" applyAlignment="1">
      <alignment horizontal="right" vertical="center"/>
    </xf>
    <xf numFmtId="41" fontId="6" fillId="0" borderId="14" xfId="1" applyFont="1" applyFill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41" fontId="6" fillId="0" borderId="16" xfId="1" applyFont="1" applyFill="1" applyBorder="1" applyAlignment="1">
      <alignment horizontal="right" vertical="center"/>
    </xf>
    <xf numFmtId="41" fontId="6" fillId="0" borderId="17" xfId="1" applyFont="1" applyFill="1" applyBorder="1" applyAlignment="1">
      <alignment horizontal="right" vertical="center"/>
    </xf>
    <xf numFmtId="41" fontId="6" fillId="0" borderId="19" xfId="1" applyFont="1" applyFill="1" applyBorder="1" applyAlignment="1">
      <alignment horizontal="right" vertical="center"/>
    </xf>
    <xf numFmtId="41" fontId="6" fillId="0" borderId="20" xfId="1" applyFont="1" applyFill="1" applyBorder="1" applyAlignment="1">
      <alignment vertical="center"/>
    </xf>
    <xf numFmtId="176" fontId="0" fillId="0" borderId="0" xfId="0" applyNumberFormat="1"/>
    <xf numFmtId="0" fontId="4" fillId="0" borderId="0" xfId="0" applyFont="1"/>
    <xf numFmtId="41" fontId="6" fillId="0" borderId="10" xfId="1" applyFont="1" applyFill="1" applyBorder="1" applyAlignment="1">
      <alignment vertical="center"/>
    </xf>
    <xf numFmtId="41" fontId="6" fillId="0" borderId="11" xfId="1" applyFont="1" applyFill="1" applyBorder="1" applyAlignment="1">
      <alignment vertical="center"/>
    </xf>
    <xf numFmtId="41" fontId="6" fillId="0" borderId="13" xfId="1" applyFont="1" applyFill="1" applyBorder="1" applyAlignment="1">
      <alignment vertical="center"/>
    </xf>
    <xf numFmtId="41" fontId="6" fillId="0" borderId="14" xfId="1" applyFont="1" applyFill="1" applyBorder="1" applyAlignment="1">
      <alignment vertical="center"/>
    </xf>
    <xf numFmtId="0" fontId="6" fillId="0" borderId="16" xfId="0" applyFont="1" applyBorder="1"/>
    <xf numFmtId="41" fontId="6" fillId="0" borderId="17" xfId="1" applyFont="1" applyFill="1" applyBorder="1" applyAlignment="1">
      <alignment vertical="center"/>
    </xf>
    <xf numFmtId="41" fontId="6" fillId="0" borderId="19" xfId="1" applyFont="1" applyFill="1" applyBorder="1" applyAlignment="1">
      <alignment vertical="center"/>
    </xf>
    <xf numFmtId="41" fontId="6" fillId="0" borderId="16" xfId="1" applyFont="1" applyFill="1" applyBorder="1" applyAlignment="1">
      <alignment vertical="center"/>
    </xf>
    <xf numFmtId="0" fontId="8" fillId="0" borderId="24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1" fontId="8" fillId="0" borderId="13" xfId="4" applyFont="1" applyFill="1" applyBorder="1" applyAlignment="1">
      <alignment vertical="center" shrinkToFit="1"/>
    </xf>
    <xf numFmtId="177" fontId="8" fillId="0" borderId="32" xfId="3" applyNumberFormat="1" applyFont="1" applyBorder="1" applyAlignment="1">
      <alignment horizontal="center" vertical="center" shrinkToFit="1"/>
    </xf>
    <xf numFmtId="41" fontId="8" fillId="0" borderId="35" xfId="1" applyFont="1" applyFill="1" applyBorder="1" applyAlignment="1">
      <alignment horizontal="center" vertical="center" shrinkToFit="1"/>
    </xf>
    <xf numFmtId="41" fontId="8" fillId="0" borderId="36" xfId="4" applyFont="1" applyFill="1" applyBorder="1" applyAlignment="1">
      <alignment vertical="center" shrinkToFit="1"/>
    </xf>
    <xf numFmtId="177" fontId="8" fillId="0" borderId="16" xfId="3" applyNumberFormat="1" applyFont="1" applyBorder="1" applyAlignment="1">
      <alignment horizontal="center" vertical="center" shrinkToFit="1"/>
    </xf>
    <xf numFmtId="41" fontId="8" fillId="0" borderId="41" xfId="1" applyFont="1" applyFill="1" applyBorder="1" applyAlignment="1">
      <alignment horizontal="center" vertical="center" shrinkToFit="1"/>
    </xf>
    <xf numFmtId="41" fontId="8" fillId="0" borderId="19" xfId="4" applyFont="1" applyFill="1" applyBorder="1" applyAlignment="1">
      <alignment vertical="center" shrinkToFit="1"/>
    </xf>
    <xf numFmtId="41" fontId="8" fillId="0" borderId="43" xfId="1" applyFont="1" applyFill="1" applyBorder="1" applyAlignment="1">
      <alignment horizontal="center" vertical="center" shrinkToFit="1"/>
    </xf>
    <xf numFmtId="41" fontId="8" fillId="0" borderId="21" xfId="4" applyFont="1" applyFill="1" applyBorder="1" applyAlignment="1">
      <alignment horizontal="center" vertical="center" shrinkToFit="1"/>
    </xf>
    <xf numFmtId="41" fontId="6" fillId="0" borderId="62" xfId="1" applyFont="1" applyBorder="1" applyAlignment="1">
      <alignment vertical="center"/>
    </xf>
    <xf numFmtId="41" fontId="6" fillId="0" borderId="62" xfId="1" applyFont="1" applyBorder="1" applyAlignment="1"/>
    <xf numFmtId="9" fontId="8" fillId="0" borderId="62" xfId="2" applyFont="1" applyBorder="1" applyAlignment="1"/>
    <xf numFmtId="14" fontId="11" fillId="0" borderId="0" xfId="0" applyNumberFormat="1" applyFont="1"/>
    <xf numFmtId="0" fontId="4" fillId="7" borderId="0" xfId="0" applyFont="1" applyFill="1"/>
    <xf numFmtId="0" fontId="0" fillId="4" borderId="45" xfId="0" applyFill="1" applyBorder="1" applyAlignment="1">
      <alignment horizontal="center" vertical="center"/>
    </xf>
    <xf numFmtId="41" fontId="6" fillId="0" borderId="53" xfId="1" applyFont="1" applyFill="1" applyBorder="1" applyAlignment="1">
      <alignment horizontal="center" vertical="center"/>
    </xf>
    <xf numFmtId="41" fontId="6" fillId="0" borderId="61" xfId="1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41" fontId="6" fillId="0" borderId="30" xfId="1" applyFont="1" applyFill="1" applyBorder="1" applyAlignment="1">
      <alignment horizontal="right" vertical="center"/>
    </xf>
    <xf numFmtId="41" fontId="6" fillId="0" borderId="42" xfId="1" applyFont="1" applyFill="1" applyBorder="1" applyAlignment="1">
      <alignment horizontal="right" vertical="center"/>
    </xf>
    <xf numFmtId="0" fontId="0" fillId="5" borderId="64" xfId="0" applyFill="1" applyBorder="1" applyAlignment="1">
      <alignment horizontal="center" vertical="center"/>
    </xf>
    <xf numFmtId="41" fontId="6" fillId="0" borderId="29" xfId="1" applyFont="1" applyFill="1" applyBorder="1" applyAlignment="1">
      <alignment horizontal="right" vertical="center"/>
    </xf>
    <xf numFmtId="41" fontId="6" fillId="0" borderId="43" xfId="1" applyFont="1" applyFill="1" applyBorder="1" applyAlignment="1">
      <alignment horizontal="right" vertical="center"/>
    </xf>
    <xf numFmtId="41" fontId="6" fillId="0" borderId="0" xfId="1" applyFont="1" applyFill="1" applyBorder="1" applyAlignment="1">
      <alignment vertical="center"/>
    </xf>
    <xf numFmtId="179" fontId="6" fillId="0" borderId="13" xfId="1" applyNumberFormat="1" applyFont="1" applyFill="1" applyBorder="1" applyAlignment="1">
      <alignment horizontal="right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1" fontId="0" fillId="0" borderId="0" xfId="0" applyNumberFormat="1"/>
    <xf numFmtId="177" fontId="0" fillId="0" borderId="0" xfId="0" applyNumberFormat="1"/>
    <xf numFmtId="0" fontId="8" fillId="0" borderId="59" xfId="3" applyFont="1" applyBorder="1" applyAlignment="1">
      <alignment horizontal="center" vertical="center" shrinkToFit="1"/>
    </xf>
    <xf numFmtId="177" fontId="8" fillId="0" borderId="65" xfId="3" applyNumberFormat="1" applyFont="1" applyBorder="1" applyAlignment="1">
      <alignment horizontal="center" vertical="center" shrinkToFit="1"/>
    </xf>
    <xf numFmtId="41" fontId="8" fillId="0" borderId="67" xfId="4" applyFont="1" applyFill="1" applyBorder="1" applyAlignment="1">
      <alignment vertical="center" shrinkToFit="1"/>
    </xf>
    <xf numFmtId="0" fontId="8" fillId="0" borderId="58" xfId="3" applyFont="1" applyBorder="1" applyAlignment="1">
      <alignment horizontal="center" vertical="center" shrinkToFit="1"/>
    </xf>
    <xf numFmtId="177" fontId="8" fillId="0" borderId="32" xfId="3" applyNumberFormat="1" applyFont="1" applyFill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shrinkToFit="1"/>
    </xf>
    <xf numFmtId="177" fontId="8" fillId="0" borderId="2" xfId="3" applyNumberFormat="1" applyFont="1" applyBorder="1" applyAlignment="1">
      <alignment horizontal="center" vertical="center" shrinkToFit="1"/>
    </xf>
    <xf numFmtId="41" fontId="8" fillId="0" borderId="64" xfId="1" applyFont="1" applyFill="1" applyBorder="1" applyAlignment="1">
      <alignment horizontal="center" vertical="center" shrinkToFit="1"/>
    </xf>
    <xf numFmtId="0" fontId="8" fillId="0" borderId="63" xfId="3" applyFont="1" applyBorder="1" applyAlignment="1">
      <alignment horizontal="center" vertical="center" shrinkToFit="1"/>
    </xf>
    <xf numFmtId="176" fontId="8" fillId="0" borderId="63" xfId="4" applyNumberFormat="1" applyFont="1" applyFill="1" applyBorder="1" applyAlignment="1">
      <alignment horizontal="center" vertical="center" shrinkToFit="1"/>
    </xf>
    <xf numFmtId="176" fontId="8" fillId="0" borderId="56" xfId="4" applyNumberFormat="1" applyFont="1" applyFill="1" applyBorder="1" applyAlignment="1">
      <alignment horizontal="center" vertical="center" shrinkToFit="1"/>
    </xf>
    <xf numFmtId="41" fontId="8" fillId="0" borderId="7" xfId="4" applyFont="1" applyFill="1" applyBorder="1" applyAlignment="1">
      <alignment vertical="center" shrinkToFit="1"/>
    </xf>
    <xf numFmtId="177" fontId="8" fillId="0" borderId="2" xfId="3" applyNumberFormat="1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shrinkToFit="1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3" fontId="0" fillId="0" borderId="0" xfId="0" applyNumberFormat="1"/>
    <xf numFmtId="3" fontId="0" fillId="0" borderId="0" xfId="0" applyNumberFormat="1" applyAlignment="1">
      <alignment vertical="top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0" fontId="8" fillId="0" borderId="31" xfId="3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/>
    </xf>
    <xf numFmtId="176" fontId="0" fillId="0" borderId="62" xfId="0" applyNumberFormat="1" applyBorder="1" applyAlignment="1">
      <alignment horizontal="center"/>
    </xf>
    <xf numFmtId="41" fontId="6" fillId="0" borderId="21" xfId="1" applyFont="1" applyBorder="1" applyAlignment="1">
      <alignment horizontal="center" vertical="center"/>
    </xf>
    <xf numFmtId="41" fontId="6" fillId="0" borderId="22" xfId="1" applyFont="1" applyBorder="1" applyAlignment="1">
      <alignment horizontal="center" vertical="center"/>
    </xf>
    <xf numFmtId="41" fontId="6" fillId="0" borderId="44" xfId="1" applyFont="1" applyBorder="1" applyAlignment="1">
      <alignment horizontal="center" vertical="center"/>
    </xf>
    <xf numFmtId="41" fontId="6" fillId="0" borderId="62" xfId="1" applyFont="1" applyBorder="1" applyAlignment="1">
      <alignment horizontal="center"/>
    </xf>
    <xf numFmtId="41" fontId="6" fillId="0" borderId="62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176" fontId="6" fillId="0" borderId="62" xfId="0" applyNumberFormat="1" applyFont="1" applyBorder="1" applyAlignment="1">
      <alignment horizontal="center" vertical="center"/>
    </xf>
    <xf numFmtId="0" fontId="8" fillId="0" borderId="49" xfId="3" applyFont="1" applyBorder="1" applyAlignment="1">
      <alignment horizontal="center" vertical="center" shrinkToFit="1"/>
    </xf>
    <xf numFmtId="0" fontId="8" fillId="0" borderId="50" xfId="3" applyFont="1" applyBorder="1" applyAlignment="1">
      <alignment horizontal="center" vertical="center" shrinkToFit="1"/>
    </xf>
    <xf numFmtId="0" fontId="8" fillId="0" borderId="51" xfId="3" applyFont="1" applyBorder="1" applyAlignment="1">
      <alignment horizontal="center" vertical="center" shrinkToFit="1"/>
    </xf>
    <xf numFmtId="0" fontId="8" fillId="0" borderId="52" xfId="3" applyFont="1" applyBorder="1" applyAlignment="1">
      <alignment horizontal="center" vertical="center" shrinkToFit="1"/>
    </xf>
    <xf numFmtId="0" fontId="8" fillId="0" borderId="26" xfId="3" applyFont="1" applyBorder="1" applyAlignment="1">
      <alignment horizontal="center" vertical="center" shrinkToFit="1"/>
    </xf>
    <xf numFmtId="0" fontId="8" fillId="0" borderId="48" xfId="3" applyFont="1" applyBorder="1" applyAlignment="1">
      <alignment horizontal="center" vertical="center" shrinkToFit="1"/>
    </xf>
    <xf numFmtId="41" fontId="8" fillId="0" borderId="63" xfId="1" applyFont="1" applyFill="1" applyBorder="1" applyAlignment="1">
      <alignment horizontal="center" vertical="center" shrinkToFit="1"/>
    </xf>
    <xf numFmtId="41" fontId="8" fillId="0" borderId="55" xfId="1" applyFont="1" applyFill="1" applyBorder="1" applyAlignment="1">
      <alignment horizontal="center" vertical="center" shrinkToFit="1"/>
    </xf>
    <xf numFmtId="41" fontId="8" fillId="0" borderId="56" xfId="1" applyFont="1" applyFill="1" applyBorder="1" applyAlignment="1">
      <alignment horizontal="center" vertical="center" shrinkToFit="1"/>
    </xf>
    <xf numFmtId="41" fontId="8" fillId="0" borderId="9" xfId="1" applyFont="1" applyFill="1" applyBorder="1" applyAlignment="1">
      <alignment horizontal="center" vertical="center" shrinkToFit="1"/>
    </xf>
    <xf numFmtId="41" fontId="8" fillId="0" borderId="30" xfId="1" applyFont="1" applyFill="1" applyBorder="1" applyAlignment="1">
      <alignment horizontal="center" vertical="center" shrinkToFit="1"/>
    </xf>
    <xf numFmtId="176" fontId="8" fillId="0" borderId="57" xfId="3" applyNumberFormat="1" applyFont="1" applyBorder="1" applyAlignment="1">
      <alignment horizontal="center" vertical="center" shrinkToFit="1"/>
    </xf>
    <xf numFmtId="176" fontId="8" fillId="0" borderId="38" xfId="3" applyNumberFormat="1" applyFont="1" applyBorder="1" applyAlignment="1">
      <alignment horizontal="center" vertical="center" shrinkToFit="1"/>
    </xf>
    <xf numFmtId="0" fontId="8" fillId="0" borderId="32" xfId="3" applyFont="1" applyBorder="1" applyAlignment="1">
      <alignment horizontal="center" vertical="center" shrinkToFit="1"/>
    </xf>
    <xf numFmtId="0" fontId="8" fillId="0" borderId="35" xfId="3" applyFont="1" applyBorder="1" applyAlignment="1">
      <alignment horizontal="center" vertical="center" shrinkToFit="1"/>
    </xf>
    <xf numFmtId="0" fontId="8" fillId="0" borderId="31" xfId="3" applyFont="1" applyBorder="1" applyAlignment="1">
      <alignment horizontal="center" vertical="center" shrinkToFit="1"/>
    </xf>
    <xf numFmtId="0" fontId="8" fillId="0" borderId="57" xfId="3" applyFont="1" applyBorder="1" applyAlignment="1">
      <alignment horizontal="center" vertical="center" shrinkToFit="1"/>
    </xf>
    <xf numFmtId="0" fontId="8" fillId="0" borderId="38" xfId="3" applyFont="1" applyBorder="1" applyAlignment="1">
      <alignment horizontal="center" vertical="center" shrinkToFit="1"/>
    </xf>
    <xf numFmtId="41" fontId="8" fillId="0" borderId="31" xfId="1" applyFont="1" applyFill="1" applyBorder="1" applyAlignment="1">
      <alignment horizontal="center" vertical="center" shrinkToFit="1"/>
    </xf>
    <xf numFmtId="41" fontId="8" fillId="0" borderId="38" xfId="1" applyFont="1" applyFill="1" applyBorder="1" applyAlignment="1">
      <alignment horizontal="center" vertical="center" shrinkToFit="1"/>
    </xf>
    <xf numFmtId="0" fontId="8" fillId="0" borderId="16" xfId="3" applyFont="1" applyBorder="1" applyAlignment="1">
      <alignment horizontal="center" vertical="center" shrinkToFit="1"/>
    </xf>
    <xf numFmtId="0" fontId="8" fillId="0" borderId="43" xfId="3" applyFont="1" applyBorder="1" applyAlignment="1">
      <alignment horizontal="center" vertical="center" shrinkToFit="1"/>
    </xf>
    <xf numFmtId="41" fontId="8" fillId="0" borderId="53" xfId="1" applyFont="1" applyFill="1" applyBorder="1" applyAlignment="1">
      <alignment horizontal="center" vertical="center" shrinkToFit="1"/>
    </xf>
    <xf numFmtId="41" fontId="8" fillId="0" borderId="54" xfId="3" applyNumberFormat="1" applyFont="1" applyBorder="1" applyAlignment="1">
      <alignment horizontal="center" vertical="center" shrinkToFit="1"/>
    </xf>
    <xf numFmtId="41" fontId="8" fillId="0" borderId="58" xfId="3" applyNumberFormat="1" applyFont="1" applyBorder="1" applyAlignment="1">
      <alignment horizontal="center" vertical="center" shrinkToFit="1"/>
    </xf>
    <xf numFmtId="41" fontId="8" fillId="0" borderId="20" xfId="3" applyNumberFormat="1" applyFont="1" applyBorder="1" applyAlignment="1">
      <alignment horizontal="center" vertical="center" shrinkToFit="1"/>
    </xf>
    <xf numFmtId="176" fontId="8" fillId="0" borderId="55" xfId="3" applyNumberFormat="1" applyFont="1" applyBorder="1" applyAlignment="1">
      <alignment horizontal="center" vertical="center" shrinkToFit="1"/>
    </xf>
    <xf numFmtId="176" fontId="8" fillId="0" borderId="56" xfId="3" applyNumberFormat="1" applyFont="1" applyBorder="1" applyAlignment="1">
      <alignment horizontal="center" vertical="center" shrinkToFit="1"/>
    </xf>
    <xf numFmtId="41" fontId="8" fillId="0" borderId="57" xfId="1" applyFont="1" applyFill="1" applyBorder="1" applyAlignment="1">
      <alignment horizontal="center" vertical="center" shrinkToFit="1"/>
    </xf>
    <xf numFmtId="41" fontId="8" fillId="0" borderId="15" xfId="1" applyFont="1" applyFill="1" applyBorder="1" applyAlignment="1">
      <alignment horizontal="center" vertical="center" shrinkToFit="1"/>
    </xf>
    <xf numFmtId="41" fontId="8" fillId="0" borderId="61" xfId="1" applyFont="1" applyFill="1" applyBorder="1" applyAlignment="1">
      <alignment horizontal="center" vertical="center" shrinkToFit="1"/>
    </xf>
    <xf numFmtId="41" fontId="8" fillId="0" borderId="42" xfId="1" applyFont="1" applyFill="1" applyBorder="1" applyAlignment="1">
      <alignment horizontal="center" vertical="center" shrinkToFit="1"/>
    </xf>
    <xf numFmtId="41" fontId="8" fillId="0" borderId="59" xfId="1" applyFont="1" applyFill="1" applyBorder="1" applyAlignment="1">
      <alignment horizontal="center" vertical="center" shrinkToFit="1"/>
    </xf>
    <xf numFmtId="41" fontId="8" fillId="0" borderId="60" xfId="1" applyFont="1" applyFill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 shrinkToFit="1"/>
    </xf>
    <xf numFmtId="0" fontId="8" fillId="0" borderId="61" xfId="3" applyFont="1" applyBorder="1" applyAlignment="1">
      <alignment horizontal="center" vertical="center" shrinkToFit="1"/>
    </xf>
    <xf numFmtId="0" fontId="8" fillId="0" borderId="42" xfId="3" applyFont="1" applyBorder="1" applyAlignment="1">
      <alignment horizontal="center" vertical="center" shrinkToFit="1"/>
    </xf>
    <xf numFmtId="176" fontId="8" fillId="0" borderId="61" xfId="3" applyNumberFormat="1" applyFont="1" applyBorder="1" applyAlignment="1">
      <alignment horizontal="center" vertical="center" shrinkToFit="1"/>
    </xf>
    <xf numFmtId="176" fontId="8" fillId="0" borderId="42" xfId="3" applyNumberFormat="1" applyFont="1" applyBorder="1" applyAlignment="1">
      <alignment horizontal="center" vertical="center" shrinkToFit="1"/>
    </xf>
    <xf numFmtId="0" fontId="8" fillId="0" borderId="21" xfId="3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176" fontId="8" fillId="0" borderId="21" xfId="4" applyNumberFormat="1" applyFont="1" applyFill="1" applyBorder="1" applyAlignment="1">
      <alignment horizontal="center" vertical="center" shrinkToFit="1"/>
    </xf>
    <xf numFmtId="176" fontId="8" fillId="0" borderId="44" xfId="4" applyNumberFormat="1" applyFont="1" applyFill="1" applyBorder="1" applyAlignment="1">
      <alignment horizontal="center" vertical="center" shrinkToFit="1"/>
    </xf>
    <xf numFmtId="177" fontId="8" fillId="0" borderId="33" xfId="3" applyNumberFormat="1" applyFont="1" applyBorder="1" applyAlignment="1">
      <alignment horizontal="center" vertical="center" shrinkToFit="1"/>
    </xf>
    <xf numFmtId="177" fontId="8" fillId="0" borderId="34" xfId="3" applyNumberFormat="1" applyFont="1" applyBorder="1" applyAlignment="1">
      <alignment horizontal="center" vertical="center" shrinkToFit="1"/>
    </xf>
    <xf numFmtId="178" fontId="8" fillId="0" borderId="33" xfId="3" applyNumberFormat="1" applyFont="1" applyBorder="1" applyAlignment="1">
      <alignment horizontal="center" vertical="center" shrinkToFit="1"/>
    </xf>
    <xf numFmtId="178" fontId="8" fillId="0" borderId="57" xfId="3" applyNumberFormat="1" applyFont="1" applyBorder="1" applyAlignment="1">
      <alignment horizontal="center" vertical="center" shrinkToFit="1"/>
    </xf>
    <xf numFmtId="178" fontId="8" fillId="0" borderId="34" xfId="3" applyNumberFormat="1" applyFont="1" applyBorder="1" applyAlignment="1">
      <alignment horizontal="center" vertical="center" shrinkToFit="1"/>
    </xf>
    <xf numFmtId="176" fontId="8" fillId="0" borderId="31" xfId="4" applyNumberFormat="1" applyFont="1" applyFill="1" applyBorder="1" applyAlignment="1">
      <alignment horizontal="center" vertical="center" shrinkToFit="1"/>
    </xf>
    <xf numFmtId="176" fontId="8" fillId="0" borderId="38" xfId="4" applyNumberFormat="1" applyFont="1" applyFill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wrapText="1"/>
    </xf>
    <xf numFmtId="0" fontId="8" fillId="0" borderId="45" xfId="3" applyFont="1" applyBorder="1" applyAlignment="1">
      <alignment horizontal="center" vertical="center" wrapText="1"/>
    </xf>
    <xf numFmtId="0" fontId="8" fillId="0" borderId="46" xfId="3" applyFont="1" applyBorder="1" applyAlignment="1">
      <alignment horizontal="center" vertical="center" wrapText="1"/>
    </xf>
    <xf numFmtId="0" fontId="8" fillId="0" borderId="28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 wrapText="1"/>
    </xf>
    <xf numFmtId="0" fontId="8" fillId="0" borderId="48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/>
    </xf>
    <xf numFmtId="176" fontId="8" fillId="7" borderId="12" xfId="3" applyNumberFormat="1" applyFont="1" applyFill="1" applyBorder="1" applyAlignment="1">
      <alignment horizontal="center" vertical="center" wrapText="1"/>
    </xf>
    <xf numFmtId="176" fontId="8" fillId="7" borderId="13" xfId="3" applyNumberFormat="1" applyFont="1" applyFill="1" applyBorder="1" applyAlignment="1">
      <alignment horizontal="center" vertical="center" wrapText="1"/>
    </xf>
    <xf numFmtId="176" fontId="8" fillId="7" borderId="18" xfId="3" applyNumberFormat="1" applyFont="1" applyFill="1" applyBorder="1" applyAlignment="1">
      <alignment horizontal="center" vertical="center" wrapText="1"/>
    </xf>
    <xf numFmtId="176" fontId="8" fillId="7" borderId="19" xfId="3" applyNumberFormat="1" applyFont="1" applyFill="1" applyBorder="1" applyAlignment="1">
      <alignment horizontal="center" vertical="center" wrapText="1"/>
    </xf>
    <xf numFmtId="177" fontId="8" fillId="0" borderId="3" xfId="3" applyNumberFormat="1" applyFont="1" applyBorder="1" applyAlignment="1">
      <alignment horizontal="center" vertical="center" shrinkToFit="1"/>
    </xf>
    <xf numFmtId="177" fontId="8" fillId="0" borderId="4" xfId="3" applyNumberFormat="1" applyFont="1" applyBorder="1" applyAlignment="1">
      <alignment horizontal="center" vertical="center" shrinkToFit="1"/>
    </xf>
    <xf numFmtId="178" fontId="8" fillId="0" borderId="3" xfId="3" applyNumberFormat="1" applyFont="1" applyBorder="1" applyAlignment="1">
      <alignment horizontal="center" vertical="center" shrinkToFit="1"/>
    </xf>
    <xf numFmtId="178" fontId="8" fillId="0" borderId="45" xfId="3" applyNumberFormat="1" applyFont="1" applyBorder="1" applyAlignment="1">
      <alignment horizontal="center" vertical="center" shrinkToFit="1"/>
    </xf>
    <xf numFmtId="178" fontId="8" fillId="0" borderId="4" xfId="3" applyNumberFormat="1" applyFont="1" applyBorder="1" applyAlignment="1">
      <alignment horizontal="center" vertical="center" shrinkToFit="1"/>
    </xf>
    <xf numFmtId="41" fontId="8" fillId="0" borderId="1" xfId="4" applyFont="1" applyFill="1" applyBorder="1" applyAlignment="1">
      <alignment horizontal="center" vertical="center" shrinkToFit="1"/>
    </xf>
    <xf numFmtId="41" fontId="8" fillId="0" borderId="37" xfId="4" applyFont="1" applyFill="1" applyBorder="1" applyAlignment="1">
      <alignment horizontal="center" vertical="center" shrinkToFit="1"/>
    </xf>
    <xf numFmtId="41" fontId="8" fillId="0" borderId="28" xfId="4" applyFont="1" applyFill="1" applyBorder="1" applyAlignment="1">
      <alignment horizontal="center" vertical="center" shrinkToFit="1"/>
    </xf>
    <xf numFmtId="176" fontId="8" fillId="0" borderId="9" xfId="4" applyNumberFormat="1" applyFont="1" applyFill="1" applyBorder="1" applyAlignment="1">
      <alignment horizontal="center" vertical="center" shrinkToFit="1"/>
    </xf>
    <xf numFmtId="176" fontId="8" fillId="0" borderId="30" xfId="4" applyNumberFormat="1" applyFont="1" applyFill="1" applyBorder="1" applyAlignment="1">
      <alignment horizontal="center" vertical="center" shrinkToFit="1"/>
    </xf>
    <xf numFmtId="177" fontId="8" fillId="0" borderId="17" xfId="3" applyNumberFormat="1" applyFont="1" applyBorder="1" applyAlignment="1">
      <alignment horizontal="center" vertical="center" shrinkToFit="1"/>
    </xf>
    <xf numFmtId="177" fontId="8" fillId="0" borderId="18" xfId="3" applyNumberFormat="1" applyFont="1" applyBorder="1" applyAlignment="1">
      <alignment horizontal="center" vertical="center" shrinkToFit="1"/>
    </xf>
    <xf numFmtId="178" fontId="8" fillId="0" borderId="17" xfId="3" applyNumberFormat="1" applyFont="1" applyBorder="1" applyAlignment="1">
      <alignment horizontal="center" vertical="center" shrinkToFit="1"/>
    </xf>
    <xf numFmtId="178" fontId="8" fillId="0" borderId="61" xfId="3" applyNumberFormat="1" applyFont="1" applyBorder="1" applyAlignment="1">
      <alignment horizontal="center" vertical="center" shrinkToFit="1"/>
    </xf>
    <xf numFmtId="178" fontId="8" fillId="0" borderId="18" xfId="3" applyNumberFormat="1" applyFont="1" applyBorder="1" applyAlignment="1">
      <alignment horizontal="center" vertical="center" shrinkToFit="1"/>
    </xf>
    <xf numFmtId="176" fontId="8" fillId="0" borderId="15" xfId="4" applyNumberFormat="1" applyFont="1" applyFill="1" applyBorder="1" applyAlignment="1">
      <alignment horizontal="center" vertical="center" shrinkToFit="1"/>
    </xf>
    <xf numFmtId="176" fontId="8" fillId="0" borderId="42" xfId="4" applyNumberFormat="1" applyFont="1" applyFill="1" applyBorder="1" applyAlignment="1">
      <alignment horizontal="center" vertical="center" shrinkToFit="1"/>
    </xf>
    <xf numFmtId="177" fontId="8" fillId="0" borderId="39" xfId="3" applyNumberFormat="1" applyFont="1" applyBorder="1" applyAlignment="1">
      <alignment horizontal="center" vertical="center" shrinkToFit="1"/>
    </xf>
    <xf numFmtId="177" fontId="8" fillId="0" borderId="40" xfId="3" applyNumberFormat="1" applyFont="1" applyBorder="1" applyAlignment="1">
      <alignment horizontal="center" vertical="center" shrinkToFit="1"/>
    </xf>
    <xf numFmtId="0" fontId="8" fillId="0" borderId="39" xfId="3" applyFont="1" applyBorder="1" applyAlignment="1">
      <alignment horizontal="center" vertical="center" wrapText="1"/>
    </xf>
    <xf numFmtId="0" fontId="8" fillId="0" borderId="66" xfId="3" applyFont="1" applyBorder="1" applyAlignment="1">
      <alignment horizontal="center" vertical="center" wrapText="1"/>
    </xf>
    <xf numFmtId="0" fontId="8" fillId="0" borderId="40" xfId="3" applyFont="1" applyBorder="1" applyAlignment="1">
      <alignment horizontal="center" vertical="center" wrapText="1"/>
    </xf>
    <xf numFmtId="177" fontId="8" fillId="0" borderId="11" xfId="3" applyNumberFormat="1" applyFont="1" applyBorder="1" applyAlignment="1">
      <alignment horizontal="center" vertical="center" shrinkToFit="1"/>
    </xf>
    <xf numFmtId="177" fontId="8" fillId="0" borderId="12" xfId="3" applyNumberFormat="1" applyFont="1" applyBorder="1" applyAlignment="1">
      <alignment horizontal="center" vertical="center" shrinkToFit="1"/>
    </xf>
    <xf numFmtId="0" fontId="8" fillId="0" borderId="11" xfId="3" applyFont="1" applyBorder="1" applyAlignment="1">
      <alignment horizontal="center" vertical="center" wrapText="1"/>
    </xf>
    <xf numFmtId="0" fontId="8" fillId="0" borderId="53" xfId="3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 wrapText="1"/>
    </xf>
    <xf numFmtId="41" fontId="8" fillId="0" borderId="8" xfId="4" applyFont="1" applyFill="1" applyBorder="1" applyAlignment="1">
      <alignment horizontal="center" vertical="center" shrinkToFit="1"/>
    </xf>
    <xf numFmtId="41" fontId="8" fillId="0" borderId="68" xfId="4" applyFont="1" applyFill="1" applyBorder="1" applyAlignment="1">
      <alignment horizontal="center" vertical="center" shrinkToFit="1"/>
    </xf>
    <xf numFmtId="41" fontId="8" fillId="0" borderId="69" xfId="4" applyFont="1" applyFill="1" applyBorder="1" applyAlignment="1">
      <alignment horizontal="center" vertical="center" shrinkToFit="1"/>
    </xf>
    <xf numFmtId="0" fontId="8" fillId="0" borderId="33" xfId="3" applyFont="1" applyBorder="1" applyAlignment="1">
      <alignment horizontal="center" vertical="center" wrapText="1"/>
    </xf>
    <xf numFmtId="0" fontId="8" fillId="0" borderId="57" xfId="3" applyFont="1" applyBorder="1" applyAlignment="1">
      <alignment horizontal="center" vertical="center" wrapText="1"/>
    </xf>
    <xf numFmtId="0" fontId="8" fillId="0" borderId="34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28" xfId="3" applyFont="1" applyBorder="1" applyAlignment="1">
      <alignment horizontal="center" vertical="center" wrapText="1"/>
    </xf>
    <xf numFmtId="176" fontId="0" fillId="7" borderId="24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177" fontId="8" fillId="0" borderId="33" xfId="3" applyNumberFormat="1" applyFont="1" applyFill="1" applyBorder="1" applyAlignment="1">
      <alignment horizontal="center" vertical="center" shrinkToFit="1"/>
    </xf>
    <xf numFmtId="177" fontId="8" fillId="0" borderId="34" xfId="3" applyNumberFormat="1" applyFont="1" applyFill="1" applyBorder="1" applyAlignment="1">
      <alignment horizontal="center" vertical="center" shrinkToFit="1"/>
    </xf>
    <xf numFmtId="41" fontId="6" fillId="0" borderId="17" xfId="1" applyFont="1" applyFill="1" applyBorder="1" applyAlignment="1">
      <alignment horizontal="center" vertical="center"/>
    </xf>
    <xf numFmtId="41" fontId="6" fillId="0" borderId="18" xfId="1" applyFont="1" applyFill="1" applyBorder="1" applyAlignment="1">
      <alignment horizontal="center" vertical="center"/>
    </xf>
    <xf numFmtId="176" fontId="6" fillId="0" borderId="28" xfId="1" applyNumberFormat="1" applyFont="1" applyBorder="1" applyAlignment="1">
      <alignment horizontal="center" vertical="center"/>
    </xf>
    <xf numFmtId="176" fontId="6" fillId="0" borderId="48" xfId="1" applyNumberFormat="1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wrapText="1"/>
    </xf>
    <xf numFmtId="0" fontId="8" fillId="0" borderId="26" xfId="3" applyFont="1" applyBorder="1" applyAlignment="1">
      <alignment horizontal="center" vertical="center" wrapText="1"/>
    </xf>
    <xf numFmtId="0" fontId="8" fillId="0" borderId="27" xfId="3" applyFont="1" applyBorder="1" applyAlignment="1">
      <alignment horizontal="center" vertical="center" wrapText="1"/>
    </xf>
    <xf numFmtId="0" fontId="8" fillId="0" borderId="23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9" fillId="0" borderId="26" xfId="3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76" fontId="0" fillId="7" borderId="21" xfId="0" applyNumberFormat="1" applyFill="1" applyBorder="1" applyAlignment="1">
      <alignment horizontal="center" vertical="center"/>
    </xf>
    <xf numFmtId="176" fontId="0" fillId="7" borderId="44" xfId="0" applyNumberFormat="1" applyFill="1" applyBorder="1" applyAlignment="1">
      <alignment horizontal="center" vertical="center"/>
    </xf>
    <xf numFmtId="41" fontId="6" fillId="0" borderId="11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6" fontId="6" fillId="0" borderId="9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horizontal="center" vertical="center"/>
    </xf>
    <xf numFmtId="41" fontId="10" fillId="0" borderId="11" xfId="1" applyFont="1" applyFill="1" applyBorder="1" applyAlignment="1">
      <alignment horizontal="center" vertical="center"/>
    </xf>
    <xf numFmtId="41" fontId="10" fillId="0" borderId="12" xfId="1" applyFont="1" applyFill="1" applyBorder="1" applyAlignment="1">
      <alignment horizontal="center" vertical="center"/>
    </xf>
    <xf numFmtId="176" fontId="6" fillId="0" borderId="12" xfId="1" applyNumberFormat="1" applyFont="1" applyBorder="1" applyAlignment="1">
      <alignment horizontal="center" vertical="center"/>
    </xf>
    <xf numFmtId="176" fontId="6" fillId="0" borderId="13" xfId="1" applyNumberFormat="1" applyFont="1" applyBorder="1" applyAlignment="1">
      <alignment horizontal="center" vertical="center"/>
    </xf>
    <xf numFmtId="41" fontId="10" fillId="0" borderId="17" xfId="1" applyFont="1" applyFill="1" applyBorder="1" applyAlignment="1">
      <alignment horizontal="center" vertical="center"/>
    </xf>
    <xf numFmtId="41" fontId="10" fillId="0" borderId="18" xfId="1" applyFont="1" applyFill="1" applyBorder="1" applyAlignment="1">
      <alignment horizontal="center" vertical="center"/>
    </xf>
    <xf numFmtId="176" fontId="6" fillId="0" borderId="18" xfId="1" applyNumberFormat="1" applyFont="1" applyBorder="1" applyAlignment="1">
      <alignment horizontal="center" vertical="center"/>
    </xf>
    <xf numFmtId="176" fontId="6" fillId="0" borderId="19" xfId="1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6" fontId="0" fillId="7" borderId="4" xfId="0" applyNumberFormat="1" applyFill="1" applyBorder="1" applyAlignment="1">
      <alignment horizontal="center" vertical="center"/>
    </xf>
    <xf numFmtId="176" fontId="0" fillId="7" borderId="7" xfId="0" applyNumberForma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5">
    <cellStyle name="백분율" xfId="2" builtinId="5"/>
    <cellStyle name="쉼표 [0]" xfId="1" builtinId="6"/>
    <cellStyle name="쉼표 [0] 3 2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324972</xdr:colOff>
      <xdr:row>1</xdr:row>
      <xdr:rowOff>11204</xdr:rowOff>
    </xdr:from>
    <xdr:to>
      <xdr:col>0</xdr:col>
      <xdr:colOff>1255060</xdr:colOff>
      <xdr:row>5</xdr:row>
      <xdr:rowOff>44822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FC5D7E17-F36C-4F5E-A59A-8833B148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2" y="220754"/>
          <a:ext cx="930088" cy="900393"/>
        </a:xfrm>
        <a:prstGeom prst="rect">
          <a:avLst/>
        </a:prstGeom>
      </xdr:spPr>
    </xdr:pic>
    <xdr:clientData/>
  </xdr:twoCellAnchor>
  <xdr:twoCellAnchor editAs="oneCell">
    <xdr:from>
      <xdr:col>11</xdr:col>
      <xdr:colOff>705973</xdr:colOff>
      <xdr:row>0</xdr:row>
      <xdr:rowOff>89647</xdr:rowOff>
    </xdr:from>
    <xdr:to>
      <xdr:col>13</xdr:col>
      <xdr:colOff>1715061</xdr:colOff>
      <xdr:row>6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92CFDB67-348D-46F2-8077-85DC836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198" y="89647"/>
          <a:ext cx="4876238" cy="116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D34" zoomScale="85" zoomScaleNormal="85" workbookViewId="0">
      <selection activeCell="J64" sqref="J64:K6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46204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230560</v>
      </c>
      <c r="C10" s="319">
        <v>1067</v>
      </c>
      <c r="D10" s="320"/>
      <c r="E10" s="323"/>
      <c r="F10" s="324"/>
      <c r="G10" s="319"/>
      <c r="H10" s="320"/>
      <c r="I10" s="44"/>
      <c r="J10" s="10">
        <v>7193.6558000000005</v>
      </c>
      <c r="K10" s="53"/>
      <c r="L10" s="11">
        <f>B10+C10-J10</f>
        <v>224433.34419999999</v>
      </c>
      <c r="M10" s="325"/>
      <c r="N10" s="326"/>
    </row>
    <row r="11" spans="1:14" ht="24.95" customHeight="1">
      <c r="A11" s="12" t="s">
        <v>12</v>
      </c>
      <c r="B11" s="13">
        <v>337015764</v>
      </c>
      <c r="C11" s="300">
        <v>27704000</v>
      </c>
      <c r="D11" s="301"/>
      <c r="E11" s="327"/>
      <c r="F11" s="328"/>
      <c r="G11" s="300"/>
      <c r="H11" s="301"/>
      <c r="I11" s="45"/>
      <c r="J11" s="14">
        <v>96604034</v>
      </c>
      <c r="K11" s="15"/>
      <c r="L11" s="16">
        <f>B11+C11-J11</f>
        <v>268115730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30749936</v>
      </c>
      <c r="C15" s="319">
        <v>261134</v>
      </c>
      <c r="D15" s="320"/>
      <c r="E15" s="323"/>
      <c r="F15" s="324"/>
      <c r="G15" s="319"/>
      <c r="H15" s="320"/>
      <c r="I15" s="44"/>
      <c r="J15" s="20">
        <v>752984</v>
      </c>
      <c r="K15" s="21"/>
      <c r="L15" s="22">
        <f>B15+C15-E15-G15-J15-K15</f>
        <v>30258086</v>
      </c>
      <c r="M15" s="325"/>
      <c r="N15" s="326"/>
    </row>
    <row r="16" spans="1:14" ht="24" customHeight="1">
      <c r="A16" s="12" t="s">
        <v>12</v>
      </c>
      <c r="B16" s="23"/>
      <c r="C16" s="300">
        <v>37512600</v>
      </c>
      <c r="D16" s="301"/>
      <c r="E16" s="327"/>
      <c r="F16" s="328"/>
      <c r="G16" s="300"/>
      <c r="H16" s="301"/>
      <c r="I16" s="45"/>
      <c r="J16" s="24">
        <v>114832080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2293321</v>
      </c>
      <c r="C20" s="319">
        <v>231368</v>
      </c>
      <c r="D20" s="320"/>
      <c r="E20" s="319">
        <v>39178</v>
      </c>
      <c r="F20" s="320"/>
      <c r="G20" s="319"/>
      <c r="H20" s="320"/>
      <c r="I20" s="44">
        <v>39178</v>
      </c>
      <c r="J20" s="50">
        <v>76788</v>
      </c>
      <c r="K20" s="47"/>
      <c r="L20" s="22">
        <f>B20+C20+E20-J20-K20</f>
        <v>2487079</v>
      </c>
      <c r="M20" s="321"/>
      <c r="N20" s="322"/>
    </row>
    <row r="21" spans="1:14" ht="24.95" customHeight="1">
      <c r="A21" s="12" t="s">
        <v>12</v>
      </c>
      <c r="B21" s="26">
        <v>1323487185</v>
      </c>
      <c r="C21" s="300">
        <v>305576504</v>
      </c>
      <c r="D21" s="301"/>
      <c r="E21" s="300">
        <v>101339012</v>
      </c>
      <c r="F21" s="301"/>
      <c r="G21" s="300"/>
      <c r="H21" s="301"/>
      <c r="I21" s="45">
        <v>4891820</v>
      </c>
      <c r="J21" s="51">
        <v>187278288</v>
      </c>
      <c r="K21" s="48"/>
      <c r="L21" s="16">
        <f>B21+C21+E21-G21-J21-K21</f>
        <v>1543124413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71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32418528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73" t="s">
        <v>79</v>
      </c>
      <c r="B28" s="30">
        <v>28</v>
      </c>
      <c r="C28" s="238"/>
      <c r="D28" s="239"/>
      <c r="E28" s="238">
        <f t="shared" si="0"/>
        <v>28</v>
      </c>
      <c r="F28" s="239"/>
      <c r="G28" s="287">
        <v>8</v>
      </c>
      <c r="H28" s="288"/>
      <c r="I28" s="289"/>
      <c r="J28" s="31">
        <v>11000</v>
      </c>
      <c r="K28" s="32">
        <f t="shared" si="1"/>
        <v>2464000</v>
      </c>
      <c r="L28" s="285"/>
      <c r="M28" s="243"/>
      <c r="N28" s="244"/>
    </row>
    <row r="29" spans="1:14" ht="17.25">
      <c r="A29" s="58" t="s">
        <v>37</v>
      </c>
      <c r="B29" s="59"/>
      <c r="C29" s="274">
        <v>250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8815878.75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73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74" t="s">
        <v>74</v>
      </c>
      <c r="B33" s="33"/>
      <c r="C33" s="267">
        <f>88+105</f>
        <v>193</v>
      </c>
      <c r="D33" s="268"/>
      <c r="E33" s="267">
        <f t="shared" si="0"/>
        <v>193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7469100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67"/>
      <c r="N35" s="68"/>
    </row>
    <row r="36" spans="1:15" ht="17.25" customHeight="1">
      <c r="A36" s="73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74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72"/>
      <c r="L38" s="37">
        <f>SUM(L26:L37)</f>
        <v>47097726.75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75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406915516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96604034</v>
      </c>
      <c r="K53" s="189"/>
      <c r="L53" s="190">
        <f>J55+J58+J61+J63</f>
        <v>338142744.75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114832080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211436114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47097726.75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65098436.75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4891820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4891820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338142744.75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68772771.25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0.1690099505814863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J68" s="86"/>
      <c r="K68" s="86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J69" s="86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87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79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F37" zoomScale="85" zoomScaleNormal="85" workbookViewId="0">
      <selection activeCell="L53" sqref="L53:L6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46205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224433</v>
      </c>
      <c r="C10" s="319">
        <v>1058</v>
      </c>
      <c r="D10" s="320"/>
      <c r="E10" s="323"/>
      <c r="F10" s="324"/>
      <c r="G10" s="319"/>
      <c r="H10" s="320"/>
      <c r="I10" s="44"/>
      <c r="J10" s="10">
        <v>7028.3517000000002</v>
      </c>
      <c r="K10" s="53"/>
      <c r="L10" s="11">
        <f>B10+C10-J10</f>
        <v>218462.6483</v>
      </c>
      <c r="M10" s="325"/>
      <c r="N10" s="326"/>
    </row>
    <row r="11" spans="1:14" ht="24.95" customHeight="1">
      <c r="A11" s="12" t="s">
        <v>12</v>
      </c>
      <c r="B11" s="13">
        <v>268115730</v>
      </c>
      <c r="C11" s="300">
        <v>29168928</v>
      </c>
      <c r="D11" s="301"/>
      <c r="E11" s="327"/>
      <c r="F11" s="328"/>
      <c r="G11" s="300"/>
      <c r="H11" s="301"/>
      <c r="I11" s="45"/>
      <c r="J11" s="14">
        <v>91310197</v>
      </c>
      <c r="K11" s="15"/>
      <c r="L11" s="16">
        <f>B11+C11-J11</f>
        <v>205974461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30258086</v>
      </c>
      <c r="C15" s="319">
        <v>284210</v>
      </c>
      <c r="D15" s="320"/>
      <c r="E15" s="323"/>
      <c r="F15" s="324"/>
      <c r="G15" s="319"/>
      <c r="H15" s="320"/>
      <c r="I15" s="44"/>
      <c r="J15" s="20">
        <v>801302</v>
      </c>
      <c r="K15" s="21"/>
      <c r="L15" s="22">
        <f>B15+C15-E15-G15-J15-K15</f>
        <v>29740994</v>
      </c>
      <c r="M15" s="325"/>
      <c r="N15" s="326"/>
    </row>
    <row r="16" spans="1:14" ht="24" customHeight="1">
      <c r="A16" s="12" t="s">
        <v>12</v>
      </c>
      <c r="B16" s="23"/>
      <c r="C16" s="300">
        <v>22679200</v>
      </c>
      <c r="D16" s="301"/>
      <c r="E16" s="327"/>
      <c r="F16" s="328"/>
      <c r="G16" s="300"/>
      <c r="H16" s="301"/>
      <c r="I16" s="45"/>
      <c r="J16" s="24">
        <v>97988781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2487079</v>
      </c>
      <c r="C20" s="319">
        <v>232753</v>
      </c>
      <c r="D20" s="320"/>
      <c r="E20" s="319">
        <v>73116</v>
      </c>
      <c r="F20" s="320"/>
      <c r="G20" s="319"/>
      <c r="H20" s="320"/>
      <c r="I20" s="44">
        <v>73116</v>
      </c>
      <c r="J20" s="50">
        <v>104354</v>
      </c>
      <c r="K20" s="47"/>
      <c r="L20" s="22">
        <f>B20+C20+E20-J20-K20</f>
        <v>2688594</v>
      </c>
      <c r="M20" s="321"/>
      <c r="N20" s="322"/>
    </row>
    <row r="21" spans="1:14" ht="24.95" customHeight="1">
      <c r="A21" s="12" t="s">
        <v>12</v>
      </c>
      <c r="B21" s="26">
        <v>1543124413</v>
      </c>
      <c r="C21" s="300">
        <v>367458158</v>
      </c>
      <c r="D21" s="301"/>
      <c r="E21" s="300">
        <v>28061592</v>
      </c>
      <c r="F21" s="301"/>
      <c r="G21" s="300"/>
      <c r="H21" s="301"/>
      <c r="I21" s="45">
        <v>2312920</v>
      </c>
      <c r="J21" s="51">
        <v>300336606</v>
      </c>
      <c r="K21" s="48"/>
      <c r="L21" s="16">
        <f>B21+C21+E21-G21-J21-K21</f>
        <v>1638307557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77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32418528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80" t="s">
        <v>79</v>
      </c>
      <c r="B28" s="30">
        <v>28</v>
      </c>
      <c r="C28" s="238"/>
      <c r="D28" s="239"/>
      <c r="E28" s="238">
        <f t="shared" si="0"/>
        <v>28</v>
      </c>
      <c r="F28" s="239"/>
      <c r="G28" s="287">
        <v>8</v>
      </c>
      <c r="H28" s="288"/>
      <c r="I28" s="289"/>
      <c r="J28" s="31">
        <v>11000</v>
      </c>
      <c r="K28" s="32">
        <f t="shared" si="1"/>
        <v>2464000</v>
      </c>
      <c r="L28" s="285"/>
      <c r="M28" s="243"/>
      <c r="N28" s="244"/>
    </row>
    <row r="29" spans="1:14" ht="17.25">
      <c r="A29" s="58" t="s">
        <v>37</v>
      </c>
      <c r="B29" s="59"/>
      <c r="C29" s="274">
        <v>258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8815878.75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80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78" t="s">
        <v>74</v>
      </c>
      <c r="B33" s="33"/>
      <c r="C33" s="267">
        <f>88+105</f>
        <v>193</v>
      </c>
      <c r="D33" s="268"/>
      <c r="E33" s="267">
        <f t="shared" si="0"/>
        <v>193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7469100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67"/>
      <c r="N35" s="68"/>
    </row>
    <row r="36" spans="1:15" ht="17.25" customHeight="1">
      <c r="A36" s="80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78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76"/>
      <c r="L38" s="37">
        <f>SUM(L26:L37)</f>
        <v>47097726.75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79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395519750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91310197</v>
      </c>
      <c r="K53" s="189"/>
      <c r="L53" s="190">
        <f>J55+J58+J61+J63</f>
        <v>313426708.75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97988781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189298978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47097726.75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65098436.75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2312920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2312920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313426708.75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82093041.25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0.20755737545343816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79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46206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218463</v>
      </c>
      <c r="C10" s="319">
        <v>1987</v>
      </c>
      <c r="D10" s="320"/>
      <c r="E10" s="323"/>
      <c r="F10" s="324"/>
      <c r="G10" s="319"/>
      <c r="H10" s="320"/>
      <c r="I10" s="44"/>
      <c r="J10" s="10">
        <v>6859.3918999999996</v>
      </c>
      <c r="K10" s="53"/>
      <c r="L10" s="11">
        <f>B10+C10-J10</f>
        <v>213590.60810000001</v>
      </c>
      <c r="M10" s="325"/>
      <c r="N10" s="326"/>
    </row>
    <row r="11" spans="1:14" ht="24.95" customHeight="1">
      <c r="A11" s="12" t="s">
        <v>12</v>
      </c>
      <c r="B11" s="13">
        <v>205974461</v>
      </c>
      <c r="C11" s="300">
        <v>54704631</v>
      </c>
      <c r="D11" s="301"/>
      <c r="E11" s="327"/>
      <c r="F11" s="328"/>
      <c r="G11" s="300"/>
      <c r="H11" s="301"/>
      <c r="I11" s="45"/>
      <c r="J11" s="14">
        <v>83698107</v>
      </c>
      <c r="K11" s="15"/>
      <c r="L11" s="16">
        <f>B11+C11-J11</f>
        <v>176980985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29740994</v>
      </c>
      <c r="C15" s="319">
        <v>429022</v>
      </c>
      <c r="D15" s="320"/>
      <c r="E15" s="323"/>
      <c r="F15" s="324"/>
      <c r="G15" s="319"/>
      <c r="H15" s="320"/>
      <c r="I15" s="44"/>
      <c r="J15" s="20">
        <v>750591</v>
      </c>
      <c r="K15" s="21"/>
      <c r="L15" s="22">
        <f>B15+C15-E15-G15-J15-K15</f>
        <v>29419425</v>
      </c>
      <c r="M15" s="325"/>
      <c r="N15" s="326"/>
    </row>
    <row r="16" spans="1:14" ht="24" customHeight="1">
      <c r="A16" s="12" t="s">
        <v>12</v>
      </c>
      <c r="B16" s="23"/>
      <c r="C16" s="300">
        <v>90147630</v>
      </c>
      <c r="D16" s="301"/>
      <c r="E16" s="327"/>
      <c r="F16" s="328"/>
      <c r="G16" s="300"/>
      <c r="H16" s="301"/>
      <c r="I16" s="45"/>
      <c r="J16" s="24">
        <v>105167383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2688594</v>
      </c>
      <c r="C20" s="319">
        <v>222798</v>
      </c>
      <c r="D20" s="320"/>
      <c r="E20" s="319">
        <v>74900</v>
      </c>
      <c r="F20" s="320"/>
      <c r="G20" s="319"/>
      <c r="H20" s="320"/>
      <c r="I20" s="44">
        <v>74900</v>
      </c>
      <c r="J20" s="50">
        <v>113316</v>
      </c>
      <c r="K20" s="47"/>
      <c r="L20" s="22">
        <f>B20+C20+E20-J20-K20</f>
        <v>2872976</v>
      </c>
      <c r="M20" s="321"/>
      <c r="N20" s="322"/>
    </row>
    <row r="21" spans="1:14" ht="24.95" customHeight="1">
      <c r="A21" s="12" t="s">
        <v>12</v>
      </c>
      <c r="B21" s="26">
        <v>1638307557</v>
      </c>
      <c r="C21" s="300">
        <v>363863740</v>
      </c>
      <c r="D21" s="301"/>
      <c r="E21" s="300">
        <v>17002300</v>
      </c>
      <c r="F21" s="301"/>
      <c r="G21" s="300"/>
      <c r="H21" s="301"/>
      <c r="I21" s="45">
        <v>2546600</v>
      </c>
      <c r="J21" s="51">
        <v>178553376</v>
      </c>
      <c r="K21" s="48"/>
      <c r="L21" s="16">
        <f>B21+C21+E21-G21-J21-K21</f>
        <v>1840620221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82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32418528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85" t="s">
        <v>79</v>
      </c>
      <c r="B28" s="30">
        <v>28</v>
      </c>
      <c r="C28" s="238"/>
      <c r="D28" s="239"/>
      <c r="E28" s="238">
        <f t="shared" si="0"/>
        <v>28</v>
      </c>
      <c r="F28" s="239"/>
      <c r="G28" s="287">
        <v>8</v>
      </c>
      <c r="H28" s="288"/>
      <c r="I28" s="289"/>
      <c r="J28" s="31">
        <v>11000</v>
      </c>
      <c r="K28" s="32">
        <f t="shared" si="1"/>
        <v>2464000</v>
      </c>
      <c r="L28" s="285"/>
      <c r="M28" s="243"/>
      <c r="N28" s="244"/>
    </row>
    <row r="29" spans="1:14" ht="17.25">
      <c r="A29" s="58" t="s">
        <v>37</v>
      </c>
      <c r="B29" s="59"/>
      <c r="C29" s="274">
        <v>255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85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83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67"/>
      <c r="N35" s="68"/>
    </row>
    <row r="36" spans="1:15" ht="17.25" customHeight="1">
      <c r="A36" s="85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83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81"/>
      <c r="L38" s="37">
        <f>SUM(L26:L37)</f>
        <v>46401126.75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84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380866040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83698107</v>
      </c>
      <c r="K53" s="189"/>
      <c r="L53" s="190">
        <f>J55+J58+J61+J63</f>
        <v>312530300.75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105167383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188865490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46401126.75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64401836.75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2546600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2546600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312530300.75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68335739.25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0.179421980626049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79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F31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46209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213591</v>
      </c>
      <c r="C10" s="319">
        <v>2770</v>
      </c>
      <c r="D10" s="320"/>
      <c r="E10" s="323"/>
      <c r="F10" s="324"/>
      <c r="G10" s="319"/>
      <c r="H10" s="320"/>
      <c r="I10" s="44"/>
      <c r="J10" s="10">
        <v>4509.6952000000001</v>
      </c>
      <c r="K10" s="53"/>
      <c r="L10" s="11">
        <f>B10+C10-J10</f>
        <v>211851.30480000001</v>
      </c>
      <c r="M10" s="325"/>
      <c r="N10" s="326"/>
    </row>
    <row r="11" spans="1:14" ht="24.95" customHeight="1">
      <c r="A11" s="12" t="s">
        <v>12</v>
      </c>
      <c r="B11" s="13">
        <v>176980985</v>
      </c>
      <c r="C11" s="300">
        <v>29669380</v>
      </c>
      <c r="D11" s="301"/>
      <c r="E11" s="327"/>
      <c r="F11" s="328"/>
      <c r="G11" s="300"/>
      <c r="H11" s="301"/>
      <c r="I11" s="45"/>
      <c r="J11" s="14">
        <v>61652829</v>
      </c>
      <c r="K11" s="15"/>
      <c r="L11" s="16">
        <f>B11+C11-J11</f>
        <v>144997536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29419425</v>
      </c>
      <c r="C15" s="319">
        <v>305158</v>
      </c>
      <c r="D15" s="320"/>
      <c r="E15" s="323"/>
      <c r="F15" s="324"/>
      <c r="G15" s="319"/>
      <c r="H15" s="320"/>
      <c r="I15" s="44"/>
      <c r="J15" s="20">
        <v>475226</v>
      </c>
      <c r="K15" s="21"/>
      <c r="L15" s="22">
        <f>B15+C15-E15-G15-J15-K15</f>
        <v>29249357</v>
      </c>
      <c r="M15" s="325"/>
      <c r="N15" s="326"/>
    </row>
    <row r="16" spans="1:14" ht="24" customHeight="1">
      <c r="A16" s="12" t="s">
        <v>12</v>
      </c>
      <c r="B16" s="23"/>
      <c r="C16" s="300">
        <v>46791350</v>
      </c>
      <c r="D16" s="301"/>
      <c r="E16" s="327"/>
      <c r="F16" s="328"/>
      <c r="G16" s="300"/>
      <c r="H16" s="301"/>
      <c r="I16" s="45"/>
      <c r="J16" s="24">
        <v>63989810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2872976</v>
      </c>
      <c r="C20" s="319">
        <v>189086</v>
      </c>
      <c r="D20" s="320"/>
      <c r="E20" s="319"/>
      <c r="F20" s="320"/>
      <c r="G20" s="319"/>
      <c r="H20" s="320"/>
      <c r="I20" s="44"/>
      <c r="J20" s="50">
        <v>170093</v>
      </c>
      <c r="K20" s="47"/>
      <c r="L20" s="22">
        <f>B20+C20+E20-J20-K20</f>
        <v>2891969</v>
      </c>
      <c r="M20" s="321"/>
      <c r="N20" s="322"/>
    </row>
    <row r="21" spans="1:14" ht="24.95" customHeight="1">
      <c r="A21" s="12" t="s">
        <v>12</v>
      </c>
      <c r="B21" s="26">
        <v>1840620221</v>
      </c>
      <c r="C21" s="300">
        <v>358295192</v>
      </c>
      <c r="D21" s="301"/>
      <c r="E21" s="300"/>
      <c r="F21" s="301"/>
      <c r="G21" s="300"/>
      <c r="H21" s="301"/>
      <c r="I21" s="45"/>
      <c r="J21" s="51">
        <v>358269479</v>
      </c>
      <c r="K21" s="48"/>
      <c r="L21" s="16">
        <f>B21+C21+E21-G21-J21-K21</f>
        <v>1840645934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92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89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266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89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90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67"/>
      <c r="N35" s="68"/>
    </row>
    <row r="36" spans="1:15" ht="17.25" customHeight="1">
      <c r="A36" s="89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90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91"/>
      <c r="L38" s="37">
        <f>SUM(L26:L37)</f>
        <v>46841126.75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88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358295192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61652829</v>
      </c>
      <c r="K53" s="189"/>
      <c r="L53" s="190">
        <f>J55+J58+J61+J63</f>
        <v>247200849.75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63989810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125642639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46841126.75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64841836.75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247200849.75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111094342.25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0.3100637260295695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79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46210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211851</v>
      </c>
      <c r="C10" s="319">
        <v>2760</v>
      </c>
      <c r="D10" s="320"/>
      <c r="E10" s="323"/>
      <c r="F10" s="324"/>
      <c r="G10" s="319"/>
      <c r="H10" s="320"/>
      <c r="I10" s="44"/>
      <c r="J10" s="10">
        <v>6432.0423000000001</v>
      </c>
      <c r="K10" s="53"/>
      <c r="L10" s="11">
        <f>B10+C10-J10</f>
        <v>208178.9577</v>
      </c>
      <c r="M10" s="325"/>
      <c r="N10" s="326"/>
    </row>
    <row r="11" spans="1:14" ht="24.95" customHeight="1">
      <c r="A11" s="12" t="s">
        <v>12</v>
      </c>
      <c r="B11" s="13">
        <v>144997536</v>
      </c>
      <c r="C11" s="300">
        <v>49929000</v>
      </c>
      <c r="D11" s="301"/>
      <c r="E11" s="327"/>
      <c r="F11" s="328"/>
      <c r="G11" s="300"/>
      <c r="H11" s="301"/>
      <c r="I11" s="45"/>
      <c r="J11" s="14">
        <v>86588297</v>
      </c>
      <c r="K11" s="15"/>
      <c r="L11" s="16">
        <f>B11+C11-J11</f>
        <v>108338239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29249357</v>
      </c>
      <c r="C15" s="319">
        <v>1000660</v>
      </c>
      <c r="D15" s="320"/>
      <c r="E15" s="323"/>
      <c r="F15" s="324"/>
      <c r="G15" s="319"/>
      <c r="H15" s="320"/>
      <c r="I15" s="44"/>
      <c r="J15" s="20">
        <v>416304</v>
      </c>
      <c r="K15" s="21"/>
      <c r="L15" s="22">
        <f>B15+C15-E15-G15-J15-K15</f>
        <v>29833713</v>
      </c>
      <c r="M15" s="325"/>
      <c r="N15" s="326"/>
    </row>
    <row r="16" spans="1:14" ht="24" customHeight="1">
      <c r="A16" s="12" t="s">
        <v>12</v>
      </c>
      <c r="B16" s="23"/>
      <c r="C16" s="300">
        <v>90212900</v>
      </c>
      <c r="D16" s="301"/>
      <c r="E16" s="327"/>
      <c r="F16" s="328"/>
      <c r="G16" s="300"/>
      <c r="H16" s="301"/>
      <c r="I16" s="45"/>
      <c r="J16" s="24">
        <v>63391949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2891969</v>
      </c>
      <c r="C20" s="319">
        <v>151490</v>
      </c>
      <c r="D20" s="320"/>
      <c r="E20" s="319"/>
      <c r="F20" s="320"/>
      <c r="G20" s="319"/>
      <c r="H20" s="320"/>
      <c r="I20" s="44"/>
      <c r="J20" s="50">
        <v>60384</v>
      </c>
      <c r="K20" s="47"/>
      <c r="L20" s="22">
        <f>B20+C20+E20-J20-K20</f>
        <v>2983075</v>
      </c>
      <c r="M20" s="321"/>
      <c r="N20" s="322"/>
    </row>
    <row r="21" spans="1:14" ht="24.95" customHeight="1">
      <c r="A21" s="12" t="s">
        <v>12</v>
      </c>
      <c r="B21" s="26">
        <v>1840645934</v>
      </c>
      <c r="C21" s="300">
        <v>326296020</v>
      </c>
      <c r="D21" s="301"/>
      <c r="E21" s="300"/>
      <c r="F21" s="301"/>
      <c r="G21" s="300"/>
      <c r="H21" s="301"/>
      <c r="I21" s="45"/>
      <c r="J21" s="51">
        <v>230677880</v>
      </c>
      <c r="K21" s="48"/>
      <c r="L21" s="16">
        <f>B21+C21+E21-G21-J21-K21</f>
        <v>1936264074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97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94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272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94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95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94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95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96"/>
      <c r="L38" s="37">
        <f>SUM(L26:L37)</f>
        <v>46841126.75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93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326296020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86588297</v>
      </c>
      <c r="K53" s="189"/>
      <c r="L53" s="190">
        <f>J55+J58+J61+J63</f>
        <v>271538456.75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63391949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149980246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46841126.75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64841836.75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271538456.75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54757563.25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0.16781560268494847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53:A64"/>
    <mergeCell ref="B53:D54"/>
    <mergeCell ref="E53:I53"/>
    <mergeCell ref="J53:K53"/>
    <mergeCell ref="L53:L64"/>
    <mergeCell ref="M53:N53"/>
    <mergeCell ref="E54:I54"/>
    <mergeCell ref="J54:K54"/>
    <mergeCell ref="M54:N54"/>
    <mergeCell ref="B55:I55"/>
    <mergeCell ref="E60:I60"/>
    <mergeCell ref="J60:K60"/>
    <mergeCell ref="M60:N60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A65:K65"/>
    <mergeCell ref="M65:N65"/>
    <mergeCell ref="A66:K66"/>
    <mergeCell ref="M66:N66"/>
    <mergeCell ref="M35:N35"/>
    <mergeCell ref="B63:I63"/>
    <mergeCell ref="J63:K63"/>
    <mergeCell ref="M63:N63"/>
    <mergeCell ref="B64:I64"/>
    <mergeCell ref="J64:K64"/>
    <mergeCell ref="M64:N64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B59:D60"/>
    <mergeCell ref="E59:I59"/>
    <mergeCell ref="J59:K59"/>
    <mergeCell ref="M59:N59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1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46211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208179</v>
      </c>
      <c r="C10" s="319">
        <v>2038</v>
      </c>
      <c r="D10" s="320"/>
      <c r="E10" s="323"/>
      <c r="F10" s="324"/>
      <c r="G10" s="319"/>
      <c r="H10" s="320"/>
      <c r="I10" s="44"/>
      <c r="J10" s="10">
        <v>5874.9196000000002</v>
      </c>
      <c r="K10" s="53"/>
      <c r="L10" s="11">
        <f>B10+C10-J10</f>
        <v>204342.08040000001</v>
      </c>
      <c r="M10" s="325"/>
      <c r="N10" s="326"/>
    </row>
    <row r="11" spans="1:14" ht="24.95" customHeight="1">
      <c r="A11" s="12" t="s">
        <v>12</v>
      </c>
      <c r="B11" s="13">
        <v>108338239</v>
      </c>
      <c r="C11" s="300">
        <v>48454518</v>
      </c>
      <c r="D11" s="301"/>
      <c r="E11" s="327"/>
      <c r="F11" s="328"/>
      <c r="G11" s="300"/>
      <c r="H11" s="301"/>
      <c r="I11" s="45"/>
      <c r="J11" s="14">
        <v>82653742</v>
      </c>
      <c r="K11" s="15"/>
      <c r="L11" s="16">
        <f>B11+C11-J11</f>
        <v>74139015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29833713</v>
      </c>
      <c r="C15" s="319">
        <v>708700</v>
      </c>
      <c r="D15" s="320"/>
      <c r="E15" s="323"/>
      <c r="F15" s="324"/>
      <c r="G15" s="319">
        <f>919+38</f>
        <v>957</v>
      </c>
      <c r="H15" s="320"/>
      <c r="I15" s="44"/>
      <c r="J15" s="20">
        <v>657154</v>
      </c>
      <c r="K15" s="21"/>
      <c r="L15" s="22">
        <f>B15+C15-E15-G15-J15-K15</f>
        <v>29884302</v>
      </c>
      <c r="M15" s="325"/>
      <c r="N15" s="326"/>
    </row>
    <row r="16" spans="1:14" ht="24" customHeight="1">
      <c r="A16" s="12" t="s">
        <v>12</v>
      </c>
      <c r="B16" s="23"/>
      <c r="C16" s="300">
        <v>60969900</v>
      </c>
      <c r="D16" s="301"/>
      <c r="E16" s="327"/>
      <c r="F16" s="328"/>
      <c r="G16" s="300">
        <v>23130</v>
      </c>
      <c r="H16" s="301"/>
      <c r="I16" s="45"/>
      <c r="J16" s="24">
        <v>79222786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2983075</v>
      </c>
      <c r="C20" s="319">
        <v>176622</v>
      </c>
      <c r="D20" s="320"/>
      <c r="E20" s="319">
        <v>60440</v>
      </c>
      <c r="F20" s="320"/>
      <c r="G20" s="319"/>
      <c r="H20" s="320"/>
      <c r="I20" s="44">
        <v>60440</v>
      </c>
      <c r="J20" s="50">
        <v>151339</v>
      </c>
      <c r="K20" s="47"/>
      <c r="L20" s="22">
        <f>B20+C20+E20-J20-K20</f>
        <v>3068798</v>
      </c>
      <c r="M20" s="321"/>
      <c r="N20" s="322"/>
    </row>
    <row r="21" spans="1:14" ht="24.95" customHeight="1">
      <c r="A21" s="12" t="s">
        <v>12</v>
      </c>
      <c r="B21" s="26">
        <v>1936264074</v>
      </c>
      <c r="C21" s="300">
        <v>317371512</v>
      </c>
      <c r="D21" s="301"/>
      <c r="E21" s="300">
        <v>21275600</v>
      </c>
      <c r="F21" s="301"/>
      <c r="G21" s="300"/>
      <c r="H21" s="301"/>
      <c r="I21" s="45">
        <v>5227600</v>
      </c>
      <c r="J21" s="51">
        <v>458809564</v>
      </c>
      <c r="K21" s="48"/>
      <c r="L21" s="16">
        <f>B21+C21+E21-G21-J21-K21</f>
        <v>1816101622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99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33034528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02" t="s">
        <v>79</v>
      </c>
      <c r="B28" s="30">
        <v>35</v>
      </c>
      <c r="C28" s="238"/>
      <c r="D28" s="239"/>
      <c r="E28" s="238">
        <f t="shared" si="0"/>
        <v>35</v>
      </c>
      <c r="F28" s="239"/>
      <c r="G28" s="287">
        <v>8</v>
      </c>
      <c r="H28" s="288"/>
      <c r="I28" s="289"/>
      <c r="J28" s="31">
        <v>11000</v>
      </c>
      <c r="K28" s="32">
        <f t="shared" si="1"/>
        <v>3080000</v>
      </c>
      <c r="L28" s="285"/>
      <c r="M28" s="243"/>
      <c r="N28" s="244"/>
    </row>
    <row r="29" spans="1:14" ht="17.25">
      <c r="A29" s="58" t="s">
        <v>37</v>
      </c>
      <c r="B29" s="59"/>
      <c r="C29" s="274">
        <v>274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02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00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02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100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98"/>
      <c r="L38" s="37">
        <f>SUM(L26:L37)</f>
        <v>47017126.75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01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338647112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82653742</v>
      </c>
      <c r="K53" s="189"/>
      <c r="L53" s="190">
        <f>J55+J58+J61+J63</f>
        <v>288838338.75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79222786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161876528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47017126.75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65017836.75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5227600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5227600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288838338.75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49808773.25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0.14708164187740069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7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46212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204342</v>
      </c>
      <c r="C10" s="319">
        <v>10127</v>
      </c>
      <c r="D10" s="320"/>
      <c r="E10" s="323"/>
      <c r="F10" s="324"/>
      <c r="G10" s="319"/>
      <c r="H10" s="320"/>
      <c r="I10" s="44"/>
      <c r="J10" s="10">
        <v>5350.8180000000002</v>
      </c>
      <c r="K10" s="53"/>
      <c r="L10" s="11">
        <f>B10+C10-J10</f>
        <v>209118.182</v>
      </c>
      <c r="M10" s="325"/>
      <c r="N10" s="326"/>
    </row>
    <row r="11" spans="1:14" ht="24.95" customHeight="1">
      <c r="A11" s="12" t="s">
        <v>12</v>
      </c>
      <c r="B11" s="13">
        <v>74139015</v>
      </c>
      <c r="C11" s="300">
        <v>57782500</v>
      </c>
      <c r="D11" s="301"/>
      <c r="E11" s="327"/>
      <c r="F11" s="328"/>
      <c r="G11" s="300"/>
      <c r="H11" s="301"/>
      <c r="I11" s="45"/>
      <c r="J11" s="14">
        <v>67790366</v>
      </c>
      <c r="K11" s="15"/>
      <c r="L11" s="16">
        <f>B11+C11-J11</f>
        <v>64131149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29884302</v>
      </c>
      <c r="C15" s="319">
        <v>460303</v>
      </c>
      <c r="D15" s="320"/>
      <c r="E15" s="323"/>
      <c r="F15" s="324"/>
      <c r="G15" s="319"/>
      <c r="H15" s="320"/>
      <c r="I15" s="44"/>
      <c r="J15" s="20">
        <v>422161</v>
      </c>
      <c r="K15" s="21"/>
      <c r="L15" s="22">
        <f>B15+C15-E15-G15-J15-K15</f>
        <v>29922444</v>
      </c>
      <c r="M15" s="325"/>
      <c r="N15" s="326"/>
    </row>
    <row r="16" spans="1:14" ht="24" customHeight="1">
      <c r="A16" s="12" t="s">
        <v>12</v>
      </c>
      <c r="B16" s="23"/>
      <c r="C16" s="300">
        <v>49117775</v>
      </c>
      <c r="D16" s="301"/>
      <c r="E16" s="327"/>
      <c r="F16" s="328"/>
      <c r="G16" s="300"/>
      <c r="H16" s="301"/>
      <c r="I16" s="45"/>
      <c r="J16" s="24">
        <v>34960285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3068798</v>
      </c>
      <c r="C20" s="319">
        <v>172306</v>
      </c>
      <c r="D20" s="320"/>
      <c r="E20" s="319"/>
      <c r="F20" s="320"/>
      <c r="G20" s="319"/>
      <c r="H20" s="320"/>
      <c r="I20" s="44"/>
      <c r="J20" s="50">
        <v>19538</v>
      </c>
      <c r="K20" s="47"/>
      <c r="L20" s="22">
        <f>B20+C20+E20-J20-K20</f>
        <v>3221566</v>
      </c>
      <c r="M20" s="321"/>
      <c r="N20" s="322"/>
    </row>
    <row r="21" spans="1:14" ht="24.95" customHeight="1">
      <c r="A21" s="12" t="s">
        <v>12</v>
      </c>
      <c r="B21" s="26">
        <v>1816101622</v>
      </c>
      <c r="C21" s="300">
        <v>299736912</v>
      </c>
      <c r="D21" s="301"/>
      <c r="E21" s="300"/>
      <c r="F21" s="301"/>
      <c r="G21" s="300"/>
      <c r="H21" s="301"/>
      <c r="I21" s="45"/>
      <c r="J21" s="51">
        <v>61139226</v>
      </c>
      <c r="K21" s="48"/>
      <c r="L21" s="16">
        <f>B21+C21+E21-G21-J21-K21</f>
        <v>2054699308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07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04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277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04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05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04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105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06"/>
      <c r="L38" s="37">
        <f>SUM(L26:L37)</f>
        <v>46841126.75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03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299736912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67790366</v>
      </c>
      <c r="K53" s="189"/>
      <c r="L53" s="190">
        <f>J55+J58+J61+J63</f>
        <v>224308861.75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34960285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102750651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46841126.75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64841836.75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224308861.75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75428050.25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0.25164751897490689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46213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209118</v>
      </c>
      <c r="C10" s="319">
        <v>2191</v>
      </c>
      <c r="D10" s="320"/>
      <c r="E10" s="323"/>
      <c r="F10" s="324"/>
      <c r="G10" s="319"/>
      <c r="H10" s="320"/>
      <c r="I10" s="44"/>
      <c r="J10" s="10">
        <v>6464.7507999999998</v>
      </c>
      <c r="K10" s="53"/>
      <c r="L10" s="11">
        <f>B10+C10-J10</f>
        <v>204844.24919999999</v>
      </c>
      <c r="M10" s="325"/>
      <c r="N10" s="326"/>
    </row>
    <row r="11" spans="1:14" ht="24.95" customHeight="1">
      <c r="A11" s="12" t="s">
        <v>12</v>
      </c>
      <c r="B11" s="13">
        <v>64131149</v>
      </c>
      <c r="C11" s="300">
        <v>93908000</v>
      </c>
      <c r="D11" s="301"/>
      <c r="E11" s="327"/>
      <c r="F11" s="328"/>
      <c r="G11" s="300"/>
      <c r="H11" s="301"/>
      <c r="I11" s="45"/>
      <c r="J11" s="14">
        <v>74092050</v>
      </c>
      <c r="K11" s="15"/>
      <c r="L11" s="16">
        <f>B11+C11-J11</f>
        <v>83947099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29922444</v>
      </c>
      <c r="C15" s="319">
        <v>1213913</v>
      </c>
      <c r="D15" s="320"/>
      <c r="E15" s="323"/>
      <c r="F15" s="324"/>
      <c r="G15" s="319"/>
      <c r="H15" s="320"/>
      <c r="I15" s="44"/>
      <c r="J15" s="20">
        <v>405297</v>
      </c>
      <c r="K15" s="21"/>
      <c r="L15" s="22">
        <f>B15+C15-E15-G15-J15-K15</f>
        <v>30731060</v>
      </c>
      <c r="M15" s="325"/>
      <c r="N15" s="326"/>
    </row>
    <row r="16" spans="1:14" ht="24" customHeight="1">
      <c r="A16" s="12" t="s">
        <v>12</v>
      </c>
      <c r="B16" s="23"/>
      <c r="C16" s="300">
        <v>92515040</v>
      </c>
      <c r="D16" s="301"/>
      <c r="E16" s="327"/>
      <c r="F16" s="328"/>
      <c r="G16" s="300"/>
      <c r="H16" s="301"/>
      <c r="I16" s="45"/>
      <c r="J16" s="24">
        <v>38709740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3221566</v>
      </c>
      <c r="C20" s="319">
        <v>167358</v>
      </c>
      <c r="D20" s="320"/>
      <c r="E20" s="319"/>
      <c r="F20" s="320"/>
      <c r="G20" s="319"/>
      <c r="H20" s="320"/>
      <c r="I20" s="44"/>
      <c r="J20" s="50">
        <v>132576</v>
      </c>
      <c r="K20" s="47"/>
      <c r="L20" s="22">
        <f>B20+C20+E20-J20-K20</f>
        <v>3256348</v>
      </c>
      <c r="M20" s="321"/>
      <c r="N20" s="322"/>
    </row>
    <row r="21" spans="1:14" ht="24.95" customHeight="1">
      <c r="A21" s="12" t="s">
        <v>12</v>
      </c>
      <c r="B21" s="26">
        <v>2054699308</v>
      </c>
      <c r="C21" s="300">
        <v>289928436</v>
      </c>
      <c r="D21" s="301"/>
      <c r="E21" s="300"/>
      <c r="F21" s="301"/>
      <c r="G21" s="300"/>
      <c r="H21" s="301"/>
      <c r="I21" s="45"/>
      <c r="J21" s="51">
        <v>305332932</v>
      </c>
      <c r="K21" s="48"/>
      <c r="L21" s="16">
        <f>B21+C21+E21-G21-J21-K21</f>
        <v>2039294812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09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12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279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12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10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5863320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12" t="s">
        <v>82</v>
      </c>
      <c r="B36" s="30">
        <v>4</v>
      </c>
      <c r="C36" s="238"/>
      <c r="D36" s="239"/>
      <c r="E36" s="238">
        <f t="shared" si="0"/>
        <v>4</v>
      </c>
      <c r="F36" s="239"/>
      <c r="G36" s="240">
        <v>8</v>
      </c>
      <c r="H36" s="241"/>
      <c r="I36" s="242"/>
      <c r="J36" s="31">
        <v>16500</v>
      </c>
      <c r="K36" s="32">
        <f t="shared" si="1"/>
        <v>528000</v>
      </c>
      <c r="L36" s="263"/>
      <c r="M36" s="243"/>
      <c r="N36" s="244"/>
    </row>
    <row r="37" spans="1:15" ht="17.25" customHeight="1">
      <c r="A37" s="110" t="s">
        <v>83</v>
      </c>
      <c r="B37" s="33"/>
      <c r="C37" s="267">
        <v>9</v>
      </c>
      <c r="D37" s="268"/>
      <c r="E37" s="267">
        <f t="shared" si="0"/>
        <v>9</v>
      </c>
      <c r="F37" s="268"/>
      <c r="G37" s="269">
        <v>8</v>
      </c>
      <c r="H37" s="270"/>
      <c r="I37" s="271"/>
      <c r="J37" s="36">
        <v>15480</v>
      </c>
      <c r="K37" s="35">
        <f t="shared" si="1"/>
        <v>1114560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08"/>
      <c r="L38" s="37">
        <f>SUM(L26:L37)</f>
        <v>46841126.75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11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289928436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74092050</v>
      </c>
      <c r="K53" s="189"/>
      <c r="L53" s="190">
        <f>J55+J58+J61+J63</f>
        <v>234360000.75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38709740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112801790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46841126.75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64841836.75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234360000.75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55568435.25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0.19166259100573357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1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46216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204844</v>
      </c>
      <c r="C10" s="319">
        <v>2963</v>
      </c>
      <c r="D10" s="320"/>
      <c r="E10" s="323"/>
      <c r="F10" s="324"/>
      <c r="G10" s="319"/>
      <c r="H10" s="320"/>
      <c r="I10" s="44"/>
      <c r="J10" s="10">
        <v>7339.2401</v>
      </c>
      <c r="K10" s="53"/>
      <c r="L10" s="11">
        <f>B10+C10-J10</f>
        <v>200467.7599</v>
      </c>
      <c r="M10" s="325"/>
      <c r="N10" s="326"/>
    </row>
    <row r="11" spans="1:14" ht="24.95" customHeight="1">
      <c r="A11" s="12" t="s">
        <v>12</v>
      </c>
      <c r="B11" s="13">
        <v>83947099</v>
      </c>
      <c r="C11" s="300">
        <v>36130400</v>
      </c>
      <c r="D11" s="301"/>
      <c r="E11" s="327"/>
      <c r="F11" s="328"/>
      <c r="G11" s="300"/>
      <c r="H11" s="301"/>
      <c r="I11" s="45"/>
      <c r="J11" s="14">
        <v>89683246</v>
      </c>
      <c r="K11" s="15"/>
      <c r="L11" s="16">
        <f>B11+C11-J11</f>
        <v>30394253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30731060</v>
      </c>
      <c r="C15" s="319">
        <v>755790</v>
      </c>
      <c r="D15" s="320"/>
      <c r="E15" s="323"/>
      <c r="F15" s="324"/>
      <c r="G15" s="319"/>
      <c r="H15" s="320"/>
      <c r="I15" s="44"/>
      <c r="J15" s="20">
        <v>582619</v>
      </c>
      <c r="K15" s="21"/>
      <c r="L15" s="22">
        <f>B15+C15-E15-G15-J15-K15</f>
        <v>30904231</v>
      </c>
      <c r="M15" s="325"/>
      <c r="N15" s="326"/>
    </row>
    <row r="16" spans="1:14" ht="24" customHeight="1">
      <c r="A16" s="12" t="s">
        <v>12</v>
      </c>
      <c r="B16" s="23"/>
      <c r="C16" s="300">
        <v>59310700</v>
      </c>
      <c r="D16" s="301"/>
      <c r="E16" s="327"/>
      <c r="F16" s="328"/>
      <c r="G16" s="300"/>
      <c r="H16" s="301"/>
      <c r="I16" s="45"/>
      <c r="J16" s="24">
        <v>60769305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3256348</v>
      </c>
      <c r="C20" s="319">
        <v>184036</v>
      </c>
      <c r="D20" s="320"/>
      <c r="E20" s="319">
        <v>46400</v>
      </c>
      <c r="F20" s="320"/>
      <c r="G20" s="319"/>
      <c r="H20" s="320"/>
      <c r="I20" s="44">
        <v>46400</v>
      </c>
      <c r="J20" s="50">
        <v>261460</v>
      </c>
      <c r="K20" s="47"/>
      <c r="L20" s="22">
        <f>B20+C20+E20-J20-K20</f>
        <v>3225324</v>
      </c>
      <c r="M20" s="321"/>
      <c r="N20" s="322"/>
    </row>
    <row r="21" spans="1:14" ht="24.95" customHeight="1">
      <c r="A21" s="12" t="s">
        <v>12</v>
      </c>
      <c r="B21" s="26">
        <v>2039294812</v>
      </c>
      <c r="C21" s="300">
        <v>338003864</v>
      </c>
      <c r="D21" s="301"/>
      <c r="E21" s="300">
        <v>22272000</v>
      </c>
      <c r="F21" s="301"/>
      <c r="G21" s="300"/>
      <c r="H21" s="301"/>
      <c r="I21" s="45">
        <v>3480000</v>
      </c>
      <c r="J21" s="51">
        <v>549428060</v>
      </c>
      <c r="K21" s="48"/>
      <c r="L21" s="16">
        <f>B21+C21+E21-G21-J21-K21</f>
        <v>1850142616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14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17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279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17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15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17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15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13"/>
      <c r="L38" s="37">
        <f>SUM(L26:L37)</f>
        <v>47963846.75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16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360275864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89683246</v>
      </c>
      <c r="K53" s="189"/>
      <c r="L53" s="190">
        <f>J55+J58+J61+J63</f>
        <v>276613481.75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60769305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150452551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47963846.75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65964556.75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3480000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3480000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276613481.75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83662382.25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0.23221756051357356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54"/>
      <c r="C69" s="54"/>
      <c r="D69" s="54"/>
      <c r="E69" s="54"/>
      <c r="F69" s="54"/>
      <c r="G69" s="54"/>
      <c r="H69" s="54"/>
      <c r="L69" s="57"/>
    </row>
    <row r="70" spans="1:14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40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46217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200468</v>
      </c>
      <c r="C10" s="319">
        <v>1522</v>
      </c>
      <c r="D10" s="320"/>
      <c r="E10" s="323"/>
      <c r="F10" s="324"/>
      <c r="G10" s="319"/>
      <c r="H10" s="320"/>
      <c r="I10" s="44"/>
      <c r="J10" s="10">
        <v>8086.8436000000002</v>
      </c>
      <c r="K10" s="53"/>
      <c r="L10" s="11">
        <f>B10+C10-J10</f>
        <v>193903.15640000001</v>
      </c>
      <c r="M10" s="325"/>
      <c r="N10" s="326"/>
    </row>
    <row r="11" spans="1:14" ht="24.95" customHeight="1">
      <c r="A11" s="12" t="s">
        <v>12</v>
      </c>
      <c r="B11" s="13">
        <v>30394253</v>
      </c>
      <c r="C11" s="300">
        <v>42838800</v>
      </c>
      <c r="D11" s="301"/>
      <c r="E11" s="327"/>
      <c r="F11" s="328"/>
      <c r="G11" s="300"/>
      <c r="H11" s="301"/>
      <c r="I11" s="45"/>
      <c r="J11" s="14">
        <v>105671774</v>
      </c>
      <c r="K11" s="15"/>
      <c r="L11" s="16">
        <f>B11+C11-J11</f>
        <v>-32438721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30904231</v>
      </c>
      <c r="C15" s="319">
        <v>538757</v>
      </c>
      <c r="D15" s="320"/>
      <c r="E15" s="323"/>
      <c r="F15" s="324"/>
      <c r="G15" s="319"/>
      <c r="H15" s="320"/>
      <c r="I15" s="44"/>
      <c r="J15" s="20">
        <v>466323</v>
      </c>
      <c r="K15" s="21"/>
      <c r="L15" s="22">
        <f>B15+C15-E15-G15-J15-K15</f>
        <v>30976665</v>
      </c>
      <c r="M15" s="325"/>
      <c r="N15" s="326"/>
    </row>
    <row r="16" spans="1:14" ht="24" customHeight="1">
      <c r="A16" s="12" t="s">
        <v>12</v>
      </c>
      <c r="B16" s="23"/>
      <c r="C16" s="300">
        <v>40048960</v>
      </c>
      <c r="D16" s="301"/>
      <c r="E16" s="327"/>
      <c r="F16" s="328"/>
      <c r="G16" s="300"/>
      <c r="H16" s="301"/>
      <c r="I16" s="45"/>
      <c r="J16" s="24">
        <v>54329695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3225324</v>
      </c>
      <c r="C20" s="319">
        <v>175992</v>
      </c>
      <c r="D20" s="320"/>
      <c r="E20" s="319"/>
      <c r="F20" s="320"/>
      <c r="G20" s="319"/>
      <c r="H20" s="320"/>
      <c r="I20" s="44"/>
      <c r="J20" s="50">
        <v>224237</v>
      </c>
      <c r="K20" s="47"/>
      <c r="L20" s="22">
        <f>B20+C20+E20-J20-K20</f>
        <v>3177079</v>
      </c>
      <c r="M20" s="321"/>
      <c r="N20" s="322"/>
    </row>
    <row r="21" spans="1:14" ht="24.95" customHeight="1">
      <c r="A21" s="12" t="s">
        <v>12</v>
      </c>
      <c r="B21" s="26">
        <v>1850142616</v>
      </c>
      <c r="C21" s="300">
        <v>322420520</v>
      </c>
      <c r="D21" s="301"/>
      <c r="E21" s="300"/>
      <c r="F21" s="301"/>
      <c r="G21" s="300"/>
      <c r="H21" s="301"/>
      <c r="I21" s="45"/>
      <c r="J21" s="51">
        <v>456454190</v>
      </c>
      <c r="K21" s="48"/>
      <c r="L21" s="16">
        <f>B21+C21+E21-G21-J21-K21</f>
        <v>1716108946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22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32594528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19" t="s">
        <v>79</v>
      </c>
      <c r="B28" s="30">
        <v>30</v>
      </c>
      <c r="C28" s="238"/>
      <c r="D28" s="239"/>
      <c r="E28" s="238">
        <f t="shared" si="0"/>
        <v>30</v>
      </c>
      <c r="F28" s="239"/>
      <c r="G28" s="287">
        <v>8</v>
      </c>
      <c r="H28" s="288"/>
      <c r="I28" s="289"/>
      <c r="J28" s="31">
        <v>11000</v>
      </c>
      <c r="K28" s="32">
        <f t="shared" si="1"/>
        <v>2640000</v>
      </c>
      <c r="L28" s="285"/>
      <c r="M28" s="243"/>
      <c r="N28" s="244"/>
    </row>
    <row r="29" spans="1:14" ht="17.25">
      <c r="A29" s="58" t="s">
        <v>37</v>
      </c>
      <c r="B29" s="59"/>
      <c r="C29" s="274">
        <f>152+126</f>
        <v>278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19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20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19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20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21"/>
      <c r="L38" s="37">
        <f>SUM(L26:L37)</f>
        <v>47699846.75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18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322420520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105671774</v>
      </c>
      <c r="K53" s="189"/>
      <c r="L53" s="190">
        <f>J55+J58+J61+J63</f>
        <v>282418399.75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54329695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160001469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47699846.75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65700556.75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282418399.75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40002120.25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0.12406815872017078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46218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193903</v>
      </c>
      <c r="C10" s="319">
        <v>3607</v>
      </c>
      <c r="D10" s="320"/>
      <c r="E10" s="323"/>
      <c r="F10" s="324"/>
      <c r="G10" s="319"/>
      <c r="H10" s="320"/>
      <c r="I10" s="44"/>
      <c r="J10" s="10">
        <v>6063.04</v>
      </c>
      <c r="K10" s="53"/>
      <c r="L10" s="11">
        <f>B10+C10-J10</f>
        <v>191446.96</v>
      </c>
      <c r="M10" s="325"/>
      <c r="N10" s="326"/>
    </row>
    <row r="11" spans="1:14" ht="24.95" customHeight="1">
      <c r="A11" s="12" t="s">
        <v>12</v>
      </c>
      <c r="B11" s="13">
        <v>32438721</v>
      </c>
      <c r="C11" s="300">
        <v>72910000</v>
      </c>
      <c r="D11" s="301"/>
      <c r="E11" s="327"/>
      <c r="F11" s="328"/>
      <c r="G11" s="300"/>
      <c r="H11" s="301"/>
      <c r="I11" s="45"/>
      <c r="J11" s="14">
        <v>76571559</v>
      </c>
      <c r="K11" s="15"/>
      <c r="L11" s="16">
        <f>B11+C11-J11</f>
        <v>28777162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30976665</v>
      </c>
      <c r="C15" s="319">
        <v>551445</v>
      </c>
      <c r="D15" s="320"/>
      <c r="E15" s="323"/>
      <c r="F15" s="324"/>
      <c r="G15" s="319">
        <v>1662</v>
      </c>
      <c r="H15" s="320"/>
      <c r="I15" s="44"/>
      <c r="J15" s="20">
        <v>453062</v>
      </c>
      <c r="K15" s="21"/>
      <c r="L15" s="22">
        <f>B15+C15-E15-G15-J15-K15</f>
        <v>31073386</v>
      </c>
      <c r="M15" s="325"/>
      <c r="N15" s="326"/>
    </row>
    <row r="16" spans="1:14" ht="24" customHeight="1">
      <c r="A16" s="12" t="s">
        <v>12</v>
      </c>
      <c r="B16" s="23"/>
      <c r="C16" s="300">
        <v>94432078</v>
      </c>
      <c r="D16" s="301"/>
      <c r="E16" s="327"/>
      <c r="F16" s="328"/>
      <c r="G16" s="300"/>
      <c r="H16" s="301"/>
      <c r="I16" s="45"/>
      <c r="J16" s="24">
        <v>44906333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3177079</v>
      </c>
      <c r="C20" s="319">
        <v>165952</v>
      </c>
      <c r="D20" s="320"/>
      <c r="E20" s="319"/>
      <c r="F20" s="320"/>
      <c r="G20" s="319"/>
      <c r="H20" s="320"/>
      <c r="I20" s="44"/>
      <c r="J20" s="50">
        <v>271310</v>
      </c>
      <c r="K20" s="47"/>
      <c r="L20" s="22">
        <f>B20+C20+E20-J20-K20</f>
        <v>3071721</v>
      </c>
      <c r="M20" s="321"/>
      <c r="N20" s="322"/>
    </row>
    <row r="21" spans="1:14" ht="24.95" customHeight="1">
      <c r="A21" s="12" t="s">
        <v>12</v>
      </c>
      <c r="B21" s="26">
        <v>1716108946</v>
      </c>
      <c r="C21" s="300">
        <v>302540441</v>
      </c>
      <c r="D21" s="301"/>
      <c r="E21" s="300"/>
      <c r="F21" s="301"/>
      <c r="G21" s="300"/>
      <c r="H21" s="301"/>
      <c r="I21" s="45"/>
      <c r="J21" s="51">
        <v>345265340</v>
      </c>
      <c r="K21" s="48"/>
      <c r="L21" s="16">
        <f>B21+C21+E21-G21-J21-K21</f>
        <v>1673384047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27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24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272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24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25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24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25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26"/>
      <c r="L38" s="37">
        <f>SUM(L26:L37)</f>
        <v>47963846.75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23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302540441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76571559</v>
      </c>
      <c r="K53" s="189"/>
      <c r="L53" s="190">
        <f>J55+J58+J61+J63</f>
        <v>244158822.75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44906333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121477892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47963846.75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65964556.75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244158822.75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58381618.25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0.19297128693614882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1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46219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191447</v>
      </c>
      <c r="C10" s="319">
        <v>4538</v>
      </c>
      <c r="D10" s="320"/>
      <c r="E10" s="323"/>
      <c r="F10" s="324"/>
      <c r="G10" s="319"/>
      <c r="H10" s="320"/>
      <c r="I10" s="44"/>
      <c r="J10" s="10">
        <v>6288.6629999999996</v>
      </c>
      <c r="K10" s="53"/>
      <c r="L10" s="11">
        <f>B10+C10-J10</f>
        <v>189696.337</v>
      </c>
      <c r="M10" s="325"/>
      <c r="N10" s="326"/>
    </row>
    <row r="11" spans="1:14" ht="24.95" customHeight="1">
      <c r="A11" s="12" t="s">
        <v>12</v>
      </c>
      <c r="B11" s="13">
        <v>28777162</v>
      </c>
      <c r="C11" s="300">
        <v>92986700</v>
      </c>
      <c r="D11" s="301"/>
      <c r="E11" s="327"/>
      <c r="F11" s="328"/>
      <c r="G11" s="300"/>
      <c r="H11" s="301"/>
      <c r="I11" s="45"/>
      <c r="J11" s="14">
        <v>88388336</v>
      </c>
      <c r="K11" s="15"/>
      <c r="L11" s="16">
        <f>B11+C11-J11</f>
        <v>33375526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31073386</v>
      </c>
      <c r="C15" s="319">
        <v>515064</v>
      </c>
      <c r="D15" s="320"/>
      <c r="E15" s="323"/>
      <c r="F15" s="324"/>
      <c r="G15" s="319"/>
      <c r="H15" s="320"/>
      <c r="I15" s="44"/>
      <c r="J15" s="20">
        <v>651246</v>
      </c>
      <c r="K15" s="21"/>
      <c r="L15" s="22">
        <f>B15+C15-E15-G15-J15-K15</f>
        <v>30937204</v>
      </c>
      <c r="M15" s="325"/>
      <c r="N15" s="326"/>
    </row>
    <row r="16" spans="1:14" ht="24" customHeight="1">
      <c r="A16" s="12" t="s">
        <v>12</v>
      </c>
      <c r="B16" s="23"/>
      <c r="C16" s="300">
        <v>70034990</v>
      </c>
      <c r="D16" s="301"/>
      <c r="E16" s="327"/>
      <c r="F16" s="328"/>
      <c r="G16" s="300"/>
      <c r="H16" s="301"/>
      <c r="I16" s="45"/>
      <c r="J16" s="24">
        <v>57851520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3071721</v>
      </c>
      <c r="C20" s="319">
        <v>247160</v>
      </c>
      <c r="D20" s="320"/>
      <c r="E20" s="319"/>
      <c r="F20" s="320"/>
      <c r="G20" s="319"/>
      <c r="H20" s="320"/>
      <c r="I20" s="44"/>
      <c r="J20" s="50">
        <v>128560</v>
      </c>
      <c r="K20" s="47"/>
      <c r="L20" s="22">
        <f>B20+C20+E20-J20-K20</f>
        <v>3190321</v>
      </c>
      <c r="M20" s="321"/>
      <c r="N20" s="322"/>
    </row>
    <row r="21" spans="1:14" ht="24.95" customHeight="1">
      <c r="A21" s="12" t="s">
        <v>12</v>
      </c>
      <c r="B21" s="26">
        <v>1673384047</v>
      </c>
      <c r="C21" s="300">
        <v>331091331</v>
      </c>
      <c r="D21" s="301"/>
      <c r="E21" s="300"/>
      <c r="F21" s="301"/>
      <c r="G21" s="300"/>
      <c r="H21" s="301"/>
      <c r="I21" s="45"/>
      <c r="J21" s="51">
        <v>247140240</v>
      </c>
      <c r="K21" s="48"/>
      <c r="L21" s="16">
        <f>B21+C21+E21-G21-J21-K21</f>
        <v>1757335138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33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32770528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30" t="s">
        <v>79</v>
      </c>
      <c r="B28" s="30">
        <v>32</v>
      </c>
      <c r="C28" s="238"/>
      <c r="D28" s="239"/>
      <c r="E28" s="238">
        <f t="shared" si="0"/>
        <v>32</v>
      </c>
      <c r="F28" s="239"/>
      <c r="G28" s="287">
        <v>8</v>
      </c>
      <c r="H28" s="288"/>
      <c r="I28" s="289"/>
      <c r="J28" s="31">
        <v>11000</v>
      </c>
      <c r="K28" s="32">
        <f t="shared" si="1"/>
        <v>2816000</v>
      </c>
      <c r="L28" s="285"/>
      <c r="M28" s="243"/>
      <c r="N28" s="244"/>
    </row>
    <row r="29" spans="1:14" ht="17.25">
      <c r="A29" s="58" t="s">
        <v>37</v>
      </c>
      <c r="B29" s="59"/>
      <c r="C29" s="274">
        <v>277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30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31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30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31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32"/>
      <c r="L38" s="37">
        <f>SUM(L26:L37)</f>
        <v>47875846.75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29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331091331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88388336</v>
      </c>
      <c r="K53" s="189"/>
      <c r="L53" s="190">
        <f>J55+J58+J61+J63</f>
        <v>268832786.75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57851520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146239856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47875846.75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65876556.75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268832786.75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62258544.25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0.18804039375467671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46223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189696</v>
      </c>
      <c r="C10" s="319">
        <v>302</v>
      </c>
      <c r="D10" s="320"/>
      <c r="E10" s="323"/>
      <c r="F10" s="324"/>
      <c r="G10" s="319"/>
      <c r="H10" s="320"/>
      <c r="I10" s="44"/>
      <c r="J10" s="10">
        <v>6209.3661000000002</v>
      </c>
      <c r="K10" s="53"/>
      <c r="L10" s="11">
        <f>B10+C10-J10</f>
        <v>183788.63389999999</v>
      </c>
      <c r="M10" s="325"/>
      <c r="N10" s="326"/>
    </row>
    <row r="11" spans="1:14" ht="24.95" customHeight="1">
      <c r="A11" s="12" t="s">
        <v>12</v>
      </c>
      <c r="B11" s="13">
        <v>33375526</v>
      </c>
      <c r="C11" s="300">
        <v>32705000</v>
      </c>
      <c r="D11" s="301"/>
      <c r="E11" s="327"/>
      <c r="F11" s="328"/>
      <c r="G11" s="300"/>
      <c r="H11" s="301"/>
      <c r="I11" s="45"/>
      <c r="J11" s="14">
        <v>92248710</v>
      </c>
      <c r="K11" s="15"/>
      <c r="L11" s="16">
        <f>B11+C11-J11</f>
        <v>-26168184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30937204</v>
      </c>
      <c r="C15" s="319">
        <v>360656</v>
      </c>
      <c r="D15" s="320"/>
      <c r="E15" s="323"/>
      <c r="F15" s="324"/>
      <c r="G15" s="319">
        <f>1602+1170</f>
        <v>2772</v>
      </c>
      <c r="H15" s="320"/>
      <c r="I15" s="44"/>
      <c r="J15" s="20">
        <v>699815</v>
      </c>
      <c r="K15" s="21"/>
      <c r="L15" s="22">
        <f>B15+C15-E15-G15-J15-K15</f>
        <v>30595273</v>
      </c>
      <c r="M15" s="325"/>
      <c r="N15" s="326"/>
    </row>
    <row r="16" spans="1:14" ht="24" customHeight="1">
      <c r="A16" s="12" t="s">
        <v>12</v>
      </c>
      <c r="B16" s="23"/>
      <c r="C16" s="300">
        <v>54180420</v>
      </c>
      <c r="D16" s="301"/>
      <c r="E16" s="327"/>
      <c r="F16" s="328"/>
      <c r="G16" s="300"/>
      <c r="H16" s="301"/>
      <c r="I16" s="45"/>
      <c r="J16" s="24">
        <v>74279523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3190321</v>
      </c>
      <c r="C20" s="319">
        <v>251680</v>
      </c>
      <c r="D20" s="320"/>
      <c r="E20" s="319"/>
      <c r="F20" s="320"/>
      <c r="G20" s="319"/>
      <c r="H20" s="320"/>
      <c r="I20" s="44"/>
      <c r="J20" s="50">
        <v>309840</v>
      </c>
      <c r="K20" s="47"/>
      <c r="L20" s="22">
        <f>B20+C20+E20-J20-K20</f>
        <v>3132161</v>
      </c>
      <c r="M20" s="321"/>
      <c r="N20" s="322"/>
    </row>
    <row r="21" spans="1:14" ht="24.95" customHeight="1">
      <c r="A21" s="12" t="s">
        <v>12</v>
      </c>
      <c r="B21" s="26">
        <v>1757335138</v>
      </c>
      <c r="C21" s="300">
        <v>367527888</v>
      </c>
      <c r="D21" s="301"/>
      <c r="E21" s="300"/>
      <c r="F21" s="301"/>
      <c r="G21" s="300"/>
      <c r="H21" s="301"/>
      <c r="I21" s="45"/>
      <c r="J21" s="51">
        <v>396213540</v>
      </c>
      <c r="K21" s="48"/>
      <c r="L21" s="16">
        <f>B21+C21+E21-G21-J21-K21</f>
        <v>1728649486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35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33034528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38" t="s">
        <v>79</v>
      </c>
      <c r="B28" s="30">
        <v>35</v>
      </c>
      <c r="C28" s="238"/>
      <c r="D28" s="239"/>
      <c r="E28" s="238">
        <f t="shared" si="0"/>
        <v>35</v>
      </c>
      <c r="F28" s="239"/>
      <c r="G28" s="287">
        <v>8</v>
      </c>
      <c r="H28" s="288"/>
      <c r="I28" s="289"/>
      <c r="J28" s="31">
        <v>11000</v>
      </c>
      <c r="K28" s="32">
        <f t="shared" si="1"/>
        <v>3080000</v>
      </c>
      <c r="L28" s="285"/>
      <c r="M28" s="243"/>
      <c r="N28" s="244"/>
    </row>
    <row r="29" spans="1:14" ht="17.25">
      <c r="A29" s="58" t="s">
        <v>37</v>
      </c>
      <c r="B29" s="59"/>
      <c r="C29" s="274">
        <f>155+131</f>
        <v>286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38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36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38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36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34"/>
      <c r="L38" s="37">
        <f>SUM(L26:L37)</f>
        <v>48139846.75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37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367527888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92248710</v>
      </c>
      <c r="K53" s="189"/>
      <c r="L53" s="190">
        <f>J55+J58+J61+J63</f>
        <v>289385163.75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74279523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166528233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48139846.75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66140556.75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289385163.75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78142724.25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0.21261712866262819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C22" zoomScale="70" zoomScaleNormal="70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46224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183789</v>
      </c>
      <c r="C10" s="319">
        <v>471</v>
      </c>
      <c r="D10" s="320"/>
      <c r="E10" s="323"/>
      <c r="F10" s="324"/>
      <c r="G10" s="319"/>
      <c r="H10" s="320"/>
      <c r="I10" s="44"/>
      <c r="J10" s="10">
        <v>6206.9520000000002</v>
      </c>
      <c r="K10" s="53"/>
      <c r="L10" s="11">
        <f>B10+C10-J10</f>
        <v>178053.04800000001</v>
      </c>
      <c r="M10" s="325"/>
      <c r="N10" s="326"/>
    </row>
    <row r="11" spans="1:14" ht="24.95" customHeight="1">
      <c r="A11" s="12" t="s">
        <v>12</v>
      </c>
      <c r="B11" s="13">
        <v>26168184</v>
      </c>
      <c r="C11" s="300">
        <v>30985500</v>
      </c>
      <c r="D11" s="301"/>
      <c r="E11" s="327"/>
      <c r="F11" s="328"/>
      <c r="G11" s="300"/>
      <c r="H11" s="301"/>
      <c r="I11" s="45"/>
      <c r="J11" s="14">
        <v>92663815</v>
      </c>
      <c r="K11" s="15"/>
      <c r="L11" s="16">
        <f>B11+C11-J11</f>
        <v>-35510131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30595273</v>
      </c>
      <c r="C15" s="319">
        <v>1127530</v>
      </c>
      <c r="D15" s="320"/>
      <c r="E15" s="323"/>
      <c r="F15" s="324"/>
      <c r="G15" s="319"/>
      <c r="H15" s="320"/>
      <c r="I15" s="44"/>
      <c r="J15" s="20">
        <v>905266</v>
      </c>
      <c r="K15" s="21"/>
      <c r="L15" s="22">
        <f>B15+C15-E15-G15-J15-K15</f>
        <v>30817537</v>
      </c>
      <c r="M15" s="325"/>
      <c r="N15" s="326"/>
    </row>
    <row r="16" spans="1:14" ht="24" customHeight="1">
      <c r="A16" s="12" t="s">
        <v>12</v>
      </c>
      <c r="B16" s="23"/>
      <c r="C16" s="300">
        <v>159550950</v>
      </c>
      <c r="D16" s="301"/>
      <c r="E16" s="327"/>
      <c r="F16" s="328"/>
      <c r="G16" s="300"/>
      <c r="H16" s="301"/>
      <c r="I16" s="45"/>
      <c r="J16" s="24">
        <v>88054098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3132161</v>
      </c>
      <c r="C20" s="319">
        <v>258762</v>
      </c>
      <c r="D20" s="320"/>
      <c r="E20" s="319">
        <v>111470</v>
      </c>
      <c r="F20" s="320"/>
      <c r="G20" s="319"/>
      <c r="H20" s="320"/>
      <c r="I20" s="44">
        <v>111470</v>
      </c>
      <c r="J20" s="50">
        <v>132420</v>
      </c>
      <c r="K20" s="47"/>
      <c r="L20" s="22">
        <f>B20+C20+E20-J20-K20</f>
        <v>3369973</v>
      </c>
      <c r="M20" s="321"/>
      <c r="N20" s="322"/>
    </row>
    <row r="21" spans="1:14" ht="24.95" customHeight="1">
      <c r="A21" s="12" t="s">
        <v>12</v>
      </c>
      <c r="B21" s="26">
        <v>1728649486</v>
      </c>
      <c r="C21" s="300">
        <v>360327085</v>
      </c>
      <c r="D21" s="301"/>
      <c r="E21" s="300">
        <v>28636690</v>
      </c>
      <c r="F21" s="301"/>
      <c r="G21" s="300"/>
      <c r="H21" s="301"/>
      <c r="I21" s="45">
        <v>4251980</v>
      </c>
      <c r="J21" s="51">
        <v>184800340</v>
      </c>
      <c r="K21" s="48"/>
      <c r="L21" s="16">
        <f>B21+C21+E21-G21-J21-K21</f>
        <v>1932812921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40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33034528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43" t="s">
        <v>79</v>
      </c>
      <c r="B28" s="30">
        <v>35</v>
      </c>
      <c r="C28" s="238"/>
      <c r="D28" s="239"/>
      <c r="E28" s="238">
        <f t="shared" si="0"/>
        <v>35</v>
      </c>
      <c r="F28" s="239"/>
      <c r="G28" s="287">
        <v>8</v>
      </c>
      <c r="H28" s="288"/>
      <c r="I28" s="289"/>
      <c r="J28" s="31">
        <v>11000</v>
      </c>
      <c r="K28" s="32">
        <f t="shared" si="1"/>
        <v>3080000</v>
      </c>
      <c r="L28" s="285"/>
      <c r="M28" s="243"/>
      <c r="N28" s="244"/>
    </row>
    <row r="29" spans="1:14" ht="17.25">
      <c r="A29" s="58" t="s">
        <v>37</v>
      </c>
      <c r="B29" s="59"/>
      <c r="C29" s="274">
        <f>155+131</f>
        <v>286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43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41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43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41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39"/>
      <c r="L38" s="37">
        <f>SUM(L26:L37)</f>
        <v>48139846.75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42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388963775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92663815</v>
      </c>
      <c r="K53" s="189"/>
      <c r="L53" s="190">
        <f>J55+J58+J61+J63</f>
        <v>307826823.75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88054098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180717913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48139846.75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66140556.75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4251980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4251980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307826823.75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81136951.25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0.20859770617456599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46225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178053</v>
      </c>
      <c r="C10" s="319">
        <v>1971</v>
      </c>
      <c r="D10" s="320"/>
      <c r="E10" s="323"/>
      <c r="F10" s="324"/>
      <c r="G10" s="319"/>
      <c r="H10" s="320"/>
      <c r="I10" s="44"/>
      <c r="J10" s="10">
        <v>6588.9525999999996</v>
      </c>
      <c r="K10" s="53"/>
      <c r="L10" s="11">
        <f>B10+C10-J10</f>
        <v>173435.04740000001</v>
      </c>
      <c r="M10" s="325"/>
      <c r="N10" s="326"/>
    </row>
    <row r="11" spans="1:14" ht="24.95" customHeight="1">
      <c r="A11" s="12" t="s">
        <v>12</v>
      </c>
      <c r="B11" s="13">
        <v>105510131</v>
      </c>
      <c r="C11" s="300">
        <v>49759700</v>
      </c>
      <c r="D11" s="301"/>
      <c r="E11" s="327"/>
      <c r="F11" s="328"/>
      <c r="G11" s="300"/>
      <c r="H11" s="301"/>
      <c r="I11" s="45"/>
      <c r="J11" s="14">
        <v>96065373</v>
      </c>
      <c r="K11" s="15"/>
      <c r="L11" s="16">
        <f>B11+C11-J11</f>
        <v>59204458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30817537</v>
      </c>
      <c r="C15" s="319">
        <v>815229</v>
      </c>
      <c r="D15" s="320"/>
      <c r="E15" s="323">
        <v>42780</v>
      </c>
      <c r="F15" s="324"/>
      <c r="G15" s="319"/>
      <c r="H15" s="320"/>
      <c r="I15" s="44"/>
      <c r="J15" s="20">
        <v>798399</v>
      </c>
      <c r="K15" s="21"/>
      <c r="L15" s="22">
        <f>B15+C15-E15-G15-J15-K15</f>
        <v>30791587</v>
      </c>
      <c r="M15" s="325"/>
      <c r="N15" s="326"/>
    </row>
    <row r="16" spans="1:14" ht="24" customHeight="1">
      <c r="A16" s="12" t="s">
        <v>12</v>
      </c>
      <c r="B16" s="23"/>
      <c r="C16" s="300">
        <v>77373850</v>
      </c>
      <c r="D16" s="301"/>
      <c r="E16" s="327">
        <v>23529000</v>
      </c>
      <c r="F16" s="328"/>
      <c r="G16" s="300"/>
      <c r="H16" s="301"/>
      <c r="I16" s="45"/>
      <c r="J16" s="24">
        <v>72816200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3369973</v>
      </c>
      <c r="C20" s="319">
        <v>236123</v>
      </c>
      <c r="D20" s="320"/>
      <c r="E20" s="319">
        <v>50100</v>
      </c>
      <c r="F20" s="320"/>
      <c r="G20" s="319"/>
      <c r="H20" s="320"/>
      <c r="I20" s="44">
        <v>50100</v>
      </c>
      <c r="J20" s="50">
        <v>95868</v>
      </c>
      <c r="K20" s="47"/>
      <c r="L20" s="22">
        <f>B20+C20+E20-J20-K20</f>
        <v>3560328</v>
      </c>
      <c r="M20" s="321"/>
      <c r="N20" s="322"/>
    </row>
    <row r="21" spans="1:14" ht="24.95" customHeight="1">
      <c r="A21" s="12" t="s">
        <v>12</v>
      </c>
      <c r="B21" s="26">
        <v>1932812921</v>
      </c>
      <c r="C21" s="300">
        <v>353750904</v>
      </c>
      <c r="D21" s="301"/>
      <c r="E21" s="300">
        <v>11372700</v>
      </c>
      <c r="F21" s="301"/>
      <c r="G21" s="300"/>
      <c r="H21" s="301"/>
      <c r="I21" s="45">
        <v>1703400</v>
      </c>
      <c r="J21" s="51">
        <v>326324484</v>
      </c>
      <c r="K21" s="48"/>
      <c r="L21" s="16">
        <f>B21+C21+E21-G21-J21-K21</f>
        <v>1971612041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45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33034528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48" t="s">
        <v>79</v>
      </c>
      <c r="B28" s="30">
        <v>35</v>
      </c>
      <c r="C28" s="238"/>
      <c r="D28" s="239"/>
      <c r="E28" s="238">
        <f t="shared" si="0"/>
        <v>35</v>
      </c>
      <c r="F28" s="239"/>
      <c r="G28" s="287">
        <v>8</v>
      </c>
      <c r="H28" s="288"/>
      <c r="I28" s="289"/>
      <c r="J28" s="31">
        <v>11000</v>
      </c>
      <c r="K28" s="32">
        <f t="shared" si="1"/>
        <v>3080000</v>
      </c>
      <c r="L28" s="285"/>
      <c r="M28" s="243"/>
      <c r="N28" s="244"/>
    </row>
    <row r="29" spans="1:14" ht="17.25">
      <c r="A29" s="58" t="s">
        <v>37</v>
      </c>
      <c r="B29" s="59"/>
      <c r="C29" s="274">
        <f>155+131</f>
        <v>286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48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46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48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46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44"/>
      <c r="L38" s="37">
        <f>SUM(L26:L37)</f>
        <v>48139846.75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47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365123604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96065373</v>
      </c>
      <c r="K53" s="189"/>
      <c r="L53" s="190">
        <f>J55+J58+J61+J63</f>
        <v>293441903.75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72816200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168881573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48139846.75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66140556.75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1703400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1703400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293441903.75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71681700.25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0.19632173725476262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46226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173435</v>
      </c>
      <c r="C10" s="319">
        <v>1068</v>
      </c>
      <c r="D10" s="320"/>
      <c r="E10" s="323"/>
      <c r="F10" s="324"/>
      <c r="G10" s="319"/>
      <c r="H10" s="320"/>
      <c r="I10" s="44"/>
      <c r="J10" s="10">
        <v>6840.7052000000003</v>
      </c>
      <c r="K10" s="53"/>
      <c r="L10" s="11">
        <f>B10+C10-J10</f>
        <v>167662.2948</v>
      </c>
      <c r="M10" s="325"/>
      <c r="N10" s="326"/>
    </row>
    <row r="11" spans="1:14" ht="24.95" customHeight="1">
      <c r="A11" s="12" t="s">
        <v>12</v>
      </c>
      <c r="B11" s="13">
        <v>59204458</v>
      </c>
      <c r="C11" s="300">
        <v>40066000</v>
      </c>
      <c r="D11" s="301"/>
      <c r="E11" s="327"/>
      <c r="F11" s="328"/>
      <c r="G11" s="300"/>
      <c r="H11" s="301"/>
      <c r="I11" s="45"/>
      <c r="J11" s="14">
        <v>98675879</v>
      </c>
      <c r="K11" s="15"/>
      <c r="L11" s="16">
        <f>B11+C11-J11</f>
        <v>594579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30791587</v>
      </c>
      <c r="C15" s="319">
        <v>991100</v>
      </c>
      <c r="D15" s="320"/>
      <c r="E15" s="323"/>
      <c r="F15" s="324"/>
      <c r="G15" s="319">
        <f>962+48</f>
        <v>1010</v>
      </c>
      <c r="H15" s="320"/>
      <c r="I15" s="44"/>
      <c r="J15" s="20">
        <v>683639</v>
      </c>
      <c r="K15" s="21"/>
      <c r="L15" s="22">
        <f>B15+C15-E15-G15-J15-K15</f>
        <v>31098038</v>
      </c>
      <c r="M15" s="325"/>
      <c r="N15" s="326"/>
    </row>
    <row r="16" spans="1:14" ht="24" customHeight="1">
      <c r="A16" s="12" t="s">
        <v>12</v>
      </c>
      <c r="B16" s="23"/>
      <c r="C16" s="300">
        <v>36062520</v>
      </c>
      <c r="D16" s="301"/>
      <c r="E16" s="327"/>
      <c r="F16" s="328"/>
      <c r="G16" s="300"/>
      <c r="H16" s="301"/>
      <c r="I16" s="45"/>
      <c r="J16" s="24">
        <v>80803958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3560328</v>
      </c>
      <c r="C20" s="319">
        <v>256978</v>
      </c>
      <c r="D20" s="320"/>
      <c r="E20" s="319"/>
      <c r="F20" s="320"/>
      <c r="G20" s="319"/>
      <c r="H20" s="320"/>
      <c r="I20" s="44"/>
      <c r="J20" s="50">
        <v>180462</v>
      </c>
      <c r="K20" s="47"/>
      <c r="L20" s="22">
        <f>B20+C20+E20-J20-K20</f>
        <v>3636844</v>
      </c>
      <c r="M20" s="321"/>
      <c r="N20" s="322"/>
    </row>
    <row r="21" spans="1:14" ht="24.95" customHeight="1">
      <c r="A21" s="12" t="s">
        <v>12</v>
      </c>
      <c r="B21" s="26">
        <v>1971612041</v>
      </c>
      <c r="C21" s="300">
        <v>359091456</v>
      </c>
      <c r="D21" s="301"/>
      <c r="E21" s="300"/>
      <c r="F21" s="301"/>
      <c r="G21" s="300"/>
      <c r="H21" s="301"/>
      <c r="I21" s="45"/>
      <c r="J21" s="51">
        <v>308815596</v>
      </c>
      <c r="K21" s="48"/>
      <c r="L21" s="16">
        <f>B21+C21+E21-G21-J21-K21</f>
        <v>2021887901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50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53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287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53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51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53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51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49"/>
      <c r="L38" s="37">
        <f>SUM(L26:L37)</f>
        <v>47963846.75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52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359091456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98675879</v>
      </c>
      <c r="K53" s="189"/>
      <c r="L53" s="190">
        <f>J55+J58+J61+J63</f>
        <v>302160767.75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80803958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179479837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47963846.75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65964556.75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302160767.75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56930688.25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0.15854091568806361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D34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46227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167662</v>
      </c>
      <c r="C10" s="319">
        <v>2150</v>
      </c>
      <c r="D10" s="320"/>
      <c r="E10" s="323"/>
      <c r="F10" s="324"/>
      <c r="G10" s="319"/>
      <c r="H10" s="320"/>
      <c r="I10" s="44"/>
      <c r="J10" s="10">
        <v>4289.8152</v>
      </c>
      <c r="K10" s="53"/>
      <c r="L10" s="11">
        <f>B10+C10-J10</f>
        <v>165522.18479999999</v>
      </c>
      <c r="M10" s="325"/>
      <c r="N10" s="326"/>
    </row>
    <row r="11" spans="1:14" ht="24.95" customHeight="1">
      <c r="A11" s="12" t="s">
        <v>12</v>
      </c>
      <c r="B11" s="13">
        <v>594579</v>
      </c>
      <c r="C11" s="300">
        <v>114611492</v>
      </c>
      <c r="D11" s="301"/>
      <c r="E11" s="327"/>
      <c r="F11" s="328"/>
      <c r="G11" s="300"/>
      <c r="H11" s="301"/>
      <c r="I11" s="45"/>
      <c r="J11" s="14">
        <v>94681465</v>
      </c>
      <c r="K11" s="15"/>
      <c r="L11" s="16">
        <f>B11+C11-J11</f>
        <v>20524606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31098038</v>
      </c>
      <c r="C15" s="319">
        <v>1090923</v>
      </c>
      <c r="D15" s="320"/>
      <c r="E15" s="323"/>
      <c r="F15" s="324"/>
      <c r="G15" s="319">
        <f>1256+3198</f>
        <v>4454</v>
      </c>
      <c r="H15" s="320"/>
      <c r="I15" s="44"/>
      <c r="J15" s="20">
        <v>643928</v>
      </c>
      <c r="K15" s="21"/>
      <c r="L15" s="22">
        <f>B15+C15-E15-G15-J15-K15</f>
        <v>31540579</v>
      </c>
      <c r="M15" s="325"/>
      <c r="N15" s="326"/>
    </row>
    <row r="16" spans="1:14" ht="24" customHeight="1">
      <c r="A16" s="12" t="s">
        <v>12</v>
      </c>
      <c r="B16" s="23"/>
      <c r="C16" s="300">
        <v>91369325</v>
      </c>
      <c r="D16" s="301"/>
      <c r="E16" s="327"/>
      <c r="F16" s="328"/>
      <c r="G16" s="300"/>
      <c r="H16" s="301"/>
      <c r="I16" s="45"/>
      <c r="J16" s="24">
        <v>85088370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3636844</v>
      </c>
      <c r="C20" s="319">
        <v>234630</v>
      </c>
      <c r="D20" s="320"/>
      <c r="E20" s="319">
        <v>13640</v>
      </c>
      <c r="F20" s="320"/>
      <c r="G20" s="319"/>
      <c r="H20" s="320"/>
      <c r="I20" s="44">
        <v>13640</v>
      </c>
      <c r="J20" s="50">
        <v>237774</v>
      </c>
      <c r="K20" s="47"/>
      <c r="L20" s="22">
        <f>B20+C20+E20-J20-K20</f>
        <v>3647340</v>
      </c>
      <c r="M20" s="321"/>
      <c r="N20" s="322"/>
    </row>
    <row r="21" spans="1:14" ht="24.95" customHeight="1">
      <c r="A21" s="12" t="s">
        <v>12</v>
      </c>
      <c r="B21" s="26">
        <v>2021887901</v>
      </c>
      <c r="C21" s="300">
        <v>330173676</v>
      </c>
      <c r="D21" s="301"/>
      <c r="E21" s="300">
        <v>7229200</v>
      </c>
      <c r="F21" s="301"/>
      <c r="G21" s="300"/>
      <c r="H21" s="301"/>
      <c r="I21" s="45">
        <v>1036640</v>
      </c>
      <c r="J21" s="51">
        <v>232914558</v>
      </c>
      <c r="K21" s="48"/>
      <c r="L21" s="16">
        <f>B21+C21+E21-G21-J21-K21</f>
        <v>2126376219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55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58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285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58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56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6986040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58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56" t="s">
        <v>83</v>
      </c>
      <c r="B37" s="33"/>
      <c r="C37" s="267">
        <f>9+8</f>
        <v>17</v>
      </c>
      <c r="D37" s="268"/>
      <c r="E37" s="267">
        <f t="shared" si="0"/>
        <v>17</v>
      </c>
      <c r="F37" s="268"/>
      <c r="G37" s="269">
        <v>8</v>
      </c>
      <c r="H37" s="270"/>
      <c r="I37" s="271"/>
      <c r="J37" s="36">
        <v>15480</v>
      </c>
      <c r="K37" s="35">
        <f t="shared" si="1"/>
        <v>2105280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54"/>
      <c r="L38" s="37">
        <f>SUM(L26:L37)</f>
        <v>47963846.75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57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337402876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94681465</v>
      </c>
      <c r="K53" s="189"/>
      <c r="L53" s="190">
        <f>J55+J58+J61+J63</f>
        <v>303487405.75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85088370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179769835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47963846.75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65964556.75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1036640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1036640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303487405.75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33915470.25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0.10051920911901177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1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46230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165522</v>
      </c>
      <c r="C10" s="319">
        <v>1393</v>
      </c>
      <c r="D10" s="320"/>
      <c r="E10" s="323"/>
      <c r="F10" s="324"/>
      <c r="G10" s="319"/>
      <c r="H10" s="320"/>
      <c r="I10" s="44"/>
      <c r="J10" s="10">
        <v>6099.3945000000003</v>
      </c>
      <c r="K10" s="53"/>
      <c r="L10" s="11">
        <f>B10+C10-J10</f>
        <v>160815.60550000001</v>
      </c>
      <c r="M10" s="325"/>
      <c r="N10" s="326"/>
    </row>
    <row r="11" spans="1:14" ht="24.95" customHeight="1">
      <c r="A11" s="12" t="s">
        <v>12</v>
      </c>
      <c r="B11" s="13">
        <v>20524606</v>
      </c>
      <c r="C11" s="300">
        <v>89074000</v>
      </c>
      <c r="D11" s="301"/>
      <c r="E11" s="327"/>
      <c r="F11" s="328"/>
      <c r="G11" s="300"/>
      <c r="H11" s="301"/>
      <c r="I11" s="45"/>
      <c r="J11" s="14">
        <v>122238815</v>
      </c>
      <c r="K11" s="15"/>
      <c r="L11" s="16">
        <f>B11+C11-J11</f>
        <v>-12640209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31540579</v>
      </c>
      <c r="C15" s="319">
        <v>788102</v>
      </c>
      <c r="D15" s="320"/>
      <c r="E15" s="323"/>
      <c r="F15" s="324"/>
      <c r="G15" s="319"/>
      <c r="H15" s="320"/>
      <c r="I15" s="44"/>
      <c r="J15" s="20">
        <v>576508</v>
      </c>
      <c r="K15" s="21"/>
      <c r="L15" s="22">
        <f>B15+C15-E15-G15-J15-K15</f>
        <v>31752173</v>
      </c>
      <c r="M15" s="325"/>
      <c r="N15" s="326"/>
    </row>
    <row r="16" spans="1:14" ht="24" customHeight="1">
      <c r="A16" s="12" t="s">
        <v>12</v>
      </c>
      <c r="B16" s="23"/>
      <c r="C16" s="300">
        <v>105247220</v>
      </c>
      <c r="D16" s="301"/>
      <c r="E16" s="327"/>
      <c r="F16" s="328"/>
      <c r="G16" s="300"/>
      <c r="H16" s="301"/>
      <c r="I16" s="45"/>
      <c r="J16" s="24">
        <v>98969104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3647340</v>
      </c>
      <c r="C20" s="319">
        <v>158279</v>
      </c>
      <c r="D20" s="320"/>
      <c r="E20" s="319">
        <v>49280</v>
      </c>
      <c r="F20" s="320"/>
      <c r="G20" s="319"/>
      <c r="H20" s="320"/>
      <c r="I20" s="44">
        <v>49280</v>
      </c>
      <c r="J20" s="50"/>
      <c r="K20" s="47"/>
      <c r="L20" s="22">
        <f>B20+C20+E20-J20-K20</f>
        <v>3854899</v>
      </c>
      <c r="M20" s="321"/>
      <c r="N20" s="322"/>
    </row>
    <row r="21" spans="1:14" ht="24.95" customHeight="1">
      <c r="A21" s="12" t="s">
        <v>12</v>
      </c>
      <c r="B21" s="26">
        <v>2126376219</v>
      </c>
      <c r="C21" s="300">
        <v>353873668</v>
      </c>
      <c r="D21" s="301"/>
      <c r="E21" s="300">
        <v>44844800</v>
      </c>
      <c r="F21" s="301"/>
      <c r="G21" s="300"/>
      <c r="H21" s="301"/>
      <c r="I21" s="45">
        <v>5888960</v>
      </c>
      <c r="J21" s="51"/>
      <c r="K21" s="48"/>
      <c r="L21" s="16">
        <f>B21+C21+E21-G21-J21-K21</f>
        <v>2525094687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63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32858528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60" t="s">
        <v>79</v>
      </c>
      <c r="B28" s="30">
        <v>33</v>
      </c>
      <c r="C28" s="238"/>
      <c r="D28" s="239"/>
      <c r="E28" s="238">
        <f t="shared" si="0"/>
        <v>33</v>
      </c>
      <c r="F28" s="239"/>
      <c r="G28" s="287">
        <v>8</v>
      </c>
      <c r="H28" s="288"/>
      <c r="I28" s="289"/>
      <c r="J28" s="31">
        <v>11000</v>
      </c>
      <c r="K28" s="32">
        <f t="shared" si="1"/>
        <v>2904000</v>
      </c>
      <c r="L28" s="285"/>
      <c r="M28" s="243"/>
      <c r="N28" s="244"/>
    </row>
    <row r="29" spans="1:14" ht="17.25">
      <c r="A29" s="58" t="s">
        <v>37</v>
      </c>
      <c r="B29" s="59"/>
      <c r="C29" s="274">
        <v>285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60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61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7852920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60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61" t="s">
        <v>83</v>
      </c>
      <c r="B37" s="33"/>
      <c r="C37" s="267">
        <v>24</v>
      </c>
      <c r="D37" s="268"/>
      <c r="E37" s="267">
        <f t="shared" si="0"/>
        <v>24</v>
      </c>
      <c r="F37" s="268"/>
      <c r="G37" s="269">
        <v>8</v>
      </c>
      <c r="H37" s="270"/>
      <c r="I37" s="271"/>
      <c r="J37" s="36">
        <v>15480</v>
      </c>
      <c r="K37" s="35">
        <f t="shared" si="1"/>
        <v>2972160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62"/>
      <c r="L38" s="37">
        <f>SUM(L26:L37)</f>
        <v>48830726.75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59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398718468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122238815</v>
      </c>
      <c r="K53" s="189"/>
      <c r="L53" s="190">
        <f>J55+J58+J61+J63</f>
        <v>350644689.75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98969104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221207919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48830726.75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66831436.75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5888960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5888960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350644689.75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48073778.25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0.1205707337589389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40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46231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160816</v>
      </c>
      <c r="C10" s="319">
        <v>3230</v>
      </c>
      <c r="D10" s="320"/>
      <c r="E10" s="323"/>
      <c r="F10" s="324"/>
      <c r="G10" s="319"/>
      <c r="H10" s="320"/>
      <c r="I10" s="44"/>
      <c r="J10" s="10">
        <v>5093.4057000000003</v>
      </c>
      <c r="K10" s="53"/>
      <c r="L10" s="11">
        <f>B10+C10-J10</f>
        <v>158952.5943</v>
      </c>
      <c r="M10" s="325"/>
      <c r="N10" s="326"/>
    </row>
    <row r="11" spans="1:14" ht="24.95" customHeight="1">
      <c r="A11" s="12" t="s">
        <v>12</v>
      </c>
      <c r="B11" s="13">
        <v>67359791</v>
      </c>
      <c r="C11" s="300">
        <v>87710200</v>
      </c>
      <c r="D11" s="301"/>
      <c r="E11" s="327"/>
      <c r="F11" s="328"/>
      <c r="G11" s="300"/>
      <c r="H11" s="301"/>
      <c r="I11" s="45"/>
      <c r="J11" s="14">
        <v>77359004</v>
      </c>
      <c r="K11" s="15"/>
      <c r="L11" s="16">
        <f>B11+C11-J11</f>
        <v>77710987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31752173</v>
      </c>
      <c r="C15" s="319">
        <v>247624</v>
      </c>
      <c r="D15" s="320"/>
      <c r="E15" s="323"/>
      <c r="F15" s="324"/>
      <c r="G15" s="319"/>
      <c r="H15" s="320"/>
      <c r="I15" s="44"/>
      <c r="J15" s="20">
        <v>607755</v>
      </c>
      <c r="K15" s="21"/>
      <c r="L15" s="22">
        <f>B15+C15-E15-G15-J15-K15</f>
        <v>31392042</v>
      </c>
      <c r="M15" s="325"/>
      <c r="N15" s="326"/>
    </row>
    <row r="16" spans="1:14" ht="24" customHeight="1">
      <c r="A16" s="12" t="s">
        <v>12</v>
      </c>
      <c r="B16" s="23"/>
      <c r="C16" s="300">
        <v>9656060</v>
      </c>
      <c r="D16" s="301"/>
      <c r="E16" s="327"/>
      <c r="F16" s="328"/>
      <c r="G16" s="300"/>
      <c r="H16" s="301"/>
      <c r="I16" s="45"/>
      <c r="J16" s="24">
        <v>96499478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3854899</v>
      </c>
      <c r="C20" s="319">
        <v>200564</v>
      </c>
      <c r="D20" s="320"/>
      <c r="E20" s="319"/>
      <c r="F20" s="320"/>
      <c r="G20" s="319"/>
      <c r="H20" s="320"/>
      <c r="I20" s="44"/>
      <c r="J20" s="50">
        <v>145216</v>
      </c>
      <c r="K20" s="47"/>
      <c r="L20" s="22">
        <f>B20+C20+E20-J20-K20</f>
        <v>3910247</v>
      </c>
      <c r="M20" s="321"/>
      <c r="N20" s="322"/>
    </row>
    <row r="21" spans="1:14" ht="24.95" customHeight="1">
      <c r="A21" s="12" t="s">
        <v>12</v>
      </c>
      <c r="B21" s="26">
        <v>2525094687</v>
      </c>
      <c r="C21" s="300">
        <v>371873352</v>
      </c>
      <c r="D21" s="301"/>
      <c r="E21" s="300"/>
      <c r="F21" s="301"/>
      <c r="G21" s="300"/>
      <c r="H21" s="301"/>
      <c r="I21" s="45"/>
      <c r="J21" s="51">
        <v>379614376</v>
      </c>
      <c r="K21" s="48"/>
      <c r="L21" s="16">
        <f>B21+C21+E21-G21-J21-K21</f>
        <v>2517353663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65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32682528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68" t="s">
        <v>79</v>
      </c>
      <c r="B28" s="30">
        <v>31</v>
      </c>
      <c r="C28" s="238"/>
      <c r="D28" s="239"/>
      <c r="E28" s="238">
        <f t="shared" si="0"/>
        <v>31</v>
      </c>
      <c r="F28" s="239"/>
      <c r="G28" s="287">
        <v>8</v>
      </c>
      <c r="H28" s="288"/>
      <c r="I28" s="289"/>
      <c r="J28" s="31">
        <v>11000</v>
      </c>
      <c r="K28" s="32">
        <f t="shared" si="1"/>
        <v>2728000</v>
      </c>
      <c r="L28" s="285"/>
      <c r="M28" s="243"/>
      <c r="N28" s="244"/>
    </row>
    <row r="29" spans="1:14" ht="17.25">
      <c r="A29" s="58" t="s">
        <v>37</v>
      </c>
      <c r="B29" s="59"/>
      <c r="C29" s="274">
        <v>292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68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66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7852920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68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66" t="s">
        <v>83</v>
      </c>
      <c r="B37" s="33"/>
      <c r="C37" s="267">
        <v>24</v>
      </c>
      <c r="D37" s="268"/>
      <c r="E37" s="267">
        <f t="shared" si="0"/>
        <v>24</v>
      </c>
      <c r="F37" s="268"/>
      <c r="G37" s="269">
        <v>8</v>
      </c>
      <c r="H37" s="270"/>
      <c r="I37" s="271"/>
      <c r="J37" s="36">
        <v>15480</v>
      </c>
      <c r="K37" s="35">
        <f t="shared" si="1"/>
        <v>2972160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64"/>
      <c r="L38" s="37">
        <f>SUM(L26:L37)</f>
        <v>48654726.75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67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371873352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77359004</v>
      </c>
      <c r="K53" s="189"/>
      <c r="L53" s="190">
        <f>J55+J58+J61+J63</f>
        <v>297230292.75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96499478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173858482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48654726.75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66655436.75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297230292.75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74643059.25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0.20072172111434325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E31" zoomScale="85" zoomScaleNormal="85" workbookViewId="0">
      <selection activeCell="K14" sqref="K14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46232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158953</v>
      </c>
      <c r="C10" s="319">
        <v>12641</v>
      </c>
      <c r="D10" s="320"/>
      <c r="E10" s="323"/>
      <c r="F10" s="324"/>
      <c r="G10" s="319"/>
      <c r="H10" s="320"/>
      <c r="I10" s="44"/>
      <c r="J10" s="10">
        <v>5893.0995999999996</v>
      </c>
      <c r="K10" s="53"/>
      <c r="L10" s="11">
        <f>B10+C10-J10</f>
        <v>165700.90040000001</v>
      </c>
      <c r="M10" s="325"/>
      <c r="N10" s="326"/>
    </row>
    <row r="11" spans="1:14" ht="24.95" customHeight="1">
      <c r="A11" s="12" t="s">
        <v>12</v>
      </c>
      <c r="B11" s="13">
        <v>77710987</v>
      </c>
      <c r="C11" s="300">
        <v>87656000</v>
      </c>
      <c r="D11" s="301"/>
      <c r="E11" s="327"/>
      <c r="F11" s="328"/>
      <c r="G11" s="300"/>
      <c r="H11" s="301"/>
      <c r="I11" s="45"/>
      <c r="J11" s="14">
        <v>90962290</v>
      </c>
      <c r="K11" s="15"/>
      <c r="L11" s="16">
        <f>B11+C11-J11</f>
        <v>74404697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31392042</v>
      </c>
      <c r="C15" s="319">
        <v>503657</v>
      </c>
      <c r="D15" s="320"/>
      <c r="E15" s="323"/>
      <c r="F15" s="324"/>
      <c r="G15" s="319">
        <f>1411+1873</f>
        <v>3284</v>
      </c>
      <c r="H15" s="320"/>
      <c r="I15" s="44"/>
      <c r="J15" s="20">
        <v>726641</v>
      </c>
      <c r="K15" s="21"/>
      <c r="L15" s="22">
        <f>B15+C15-E15-G15-J15-K15</f>
        <v>31165774</v>
      </c>
      <c r="M15" s="325"/>
      <c r="N15" s="326"/>
    </row>
    <row r="16" spans="1:14" ht="24" customHeight="1">
      <c r="A16" s="12" t="s">
        <v>12</v>
      </c>
      <c r="B16" s="23"/>
      <c r="C16" s="300">
        <v>51199980</v>
      </c>
      <c r="D16" s="301"/>
      <c r="E16" s="327"/>
      <c r="F16" s="328"/>
      <c r="G16" s="300"/>
      <c r="H16" s="301"/>
      <c r="I16" s="45"/>
      <c r="J16" s="24">
        <v>89173044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3910247</v>
      </c>
      <c r="C20" s="319">
        <v>265348</v>
      </c>
      <c r="D20" s="320"/>
      <c r="E20" s="319"/>
      <c r="F20" s="320"/>
      <c r="G20" s="319"/>
      <c r="H20" s="320"/>
      <c r="I20" s="44"/>
      <c r="J20" s="50">
        <v>1490264</v>
      </c>
      <c r="K20" s="47"/>
      <c r="L20" s="22">
        <f>B20+C20+E20-J20-K20</f>
        <v>2685331</v>
      </c>
      <c r="M20" s="321"/>
      <c r="N20" s="322"/>
    </row>
    <row r="21" spans="1:14" ht="24.95" customHeight="1">
      <c r="A21" s="12" t="s">
        <v>12</v>
      </c>
      <c r="B21" s="26">
        <v>2517353663</v>
      </c>
      <c r="C21" s="300">
        <v>374121300</v>
      </c>
      <c r="D21" s="301"/>
      <c r="E21" s="300"/>
      <c r="F21" s="301"/>
      <c r="G21" s="300"/>
      <c r="H21" s="301"/>
      <c r="I21" s="45"/>
      <c r="J21" s="51">
        <v>1174411056</v>
      </c>
      <c r="K21" s="48"/>
      <c r="L21" s="16">
        <f>B21+C21+E21-G21-J21-K21</f>
        <v>1717063907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70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32682528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73" t="s">
        <v>79</v>
      </c>
      <c r="B28" s="30">
        <v>31</v>
      </c>
      <c r="C28" s="238"/>
      <c r="D28" s="239"/>
      <c r="E28" s="238">
        <f t="shared" si="0"/>
        <v>31</v>
      </c>
      <c r="F28" s="239"/>
      <c r="G28" s="287">
        <v>8</v>
      </c>
      <c r="H28" s="288"/>
      <c r="I28" s="289"/>
      <c r="J28" s="31">
        <v>11000</v>
      </c>
      <c r="K28" s="32">
        <f t="shared" si="1"/>
        <v>2728000</v>
      </c>
      <c r="L28" s="285"/>
      <c r="M28" s="243"/>
      <c r="N28" s="244"/>
    </row>
    <row r="29" spans="1:14" ht="17.25">
      <c r="A29" s="58" t="s">
        <v>37</v>
      </c>
      <c r="B29" s="59"/>
      <c r="C29" s="274">
        <v>292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73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71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7852920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73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71" t="s">
        <v>83</v>
      </c>
      <c r="B37" s="33"/>
      <c r="C37" s="267">
        <v>24</v>
      </c>
      <c r="D37" s="268"/>
      <c r="E37" s="267">
        <f t="shared" si="0"/>
        <v>24</v>
      </c>
      <c r="F37" s="268"/>
      <c r="G37" s="269">
        <v>8</v>
      </c>
      <c r="H37" s="270"/>
      <c r="I37" s="271"/>
      <c r="J37" s="36">
        <v>15480</v>
      </c>
      <c r="K37" s="35">
        <f t="shared" si="1"/>
        <v>2972160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69"/>
      <c r="L38" s="37">
        <f>SUM(L26:L37)</f>
        <v>48654726.75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72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374121300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90962290</v>
      </c>
      <c r="K53" s="189"/>
      <c r="L53" s="190">
        <f>J55+J58+J61+J63</f>
        <v>303507144.75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89173044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180135334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48654726.75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66655436.75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303507144.75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70614155.25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0.18874668523283758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opLeftCell="F34" zoomScale="85" zoomScaleNormal="85" workbookViewId="0">
      <selection activeCell="M63" sqref="M63:N63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46233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>
        <v>165701</v>
      </c>
      <c r="C10" s="319">
        <v>14431</v>
      </c>
      <c r="D10" s="320"/>
      <c r="E10" s="323"/>
      <c r="F10" s="324"/>
      <c r="G10" s="319"/>
      <c r="H10" s="320"/>
      <c r="I10" s="44"/>
      <c r="J10" s="10">
        <v>6706.7484999999997</v>
      </c>
      <c r="K10" s="53"/>
      <c r="L10" s="11">
        <f>B10+C10-J10</f>
        <v>173425.25150000001</v>
      </c>
      <c r="M10" s="325"/>
      <c r="N10" s="326"/>
    </row>
    <row r="11" spans="1:14" ht="24.95" customHeight="1">
      <c r="A11" s="12" t="s">
        <v>12</v>
      </c>
      <c r="B11" s="13">
        <v>74404697</v>
      </c>
      <c r="C11" s="300">
        <v>98092000</v>
      </c>
      <c r="D11" s="301"/>
      <c r="E11" s="327"/>
      <c r="F11" s="328"/>
      <c r="G11" s="300"/>
      <c r="H11" s="301"/>
      <c r="I11" s="45"/>
      <c r="J11" s="14">
        <v>105971009</v>
      </c>
      <c r="K11" s="15"/>
      <c r="L11" s="16">
        <f>B11+C11-J11</f>
        <v>66525688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>
        <v>31165774</v>
      </c>
      <c r="C15" s="319">
        <v>604015</v>
      </c>
      <c r="D15" s="320"/>
      <c r="E15" s="323"/>
      <c r="F15" s="324"/>
      <c r="G15" s="319">
        <f>1063+26</f>
        <v>1089</v>
      </c>
      <c r="H15" s="320"/>
      <c r="I15" s="44"/>
      <c r="J15" s="20">
        <v>743295</v>
      </c>
      <c r="K15" s="21"/>
      <c r="L15" s="22">
        <f>B15+C15-E15-G15-J15-K15</f>
        <v>31025405</v>
      </c>
      <c r="M15" s="325"/>
      <c r="N15" s="326"/>
    </row>
    <row r="16" spans="1:14" ht="24" customHeight="1">
      <c r="A16" s="12" t="s">
        <v>12</v>
      </c>
      <c r="B16" s="23"/>
      <c r="C16" s="300">
        <v>21519560</v>
      </c>
      <c r="D16" s="301"/>
      <c r="E16" s="327"/>
      <c r="F16" s="328"/>
      <c r="G16" s="300"/>
      <c r="H16" s="301"/>
      <c r="I16" s="45"/>
      <c r="J16" s="24">
        <v>76854081</v>
      </c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>
        <v>2685331</v>
      </c>
      <c r="C20" s="319">
        <v>250507</v>
      </c>
      <c r="D20" s="320"/>
      <c r="E20" s="319">
        <v>52130</v>
      </c>
      <c r="F20" s="320"/>
      <c r="G20" s="319"/>
      <c r="H20" s="320"/>
      <c r="I20" s="44">
        <v>52130</v>
      </c>
      <c r="J20" s="50">
        <v>26928</v>
      </c>
      <c r="K20" s="47"/>
      <c r="L20" s="22">
        <f>B20+C20+E20-J20-K20</f>
        <v>2961040</v>
      </c>
      <c r="M20" s="321"/>
      <c r="N20" s="322"/>
    </row>
    <row r="21" spans="1:14" ht="24.95" customHeight="1">
      <c r="A21" s="12" t="s">
        <v>12</v>
      </c>
      <c r="B21" s="26">
        <v>1717063907</v>
      </c>
      <c r="C21" s="300">
        <v>364777036</v>
      </c>
      <c r="D21" s="301"/>
      <c r="E21" s="300">
        <v>27628900</v>
      </c>
      <c r="F21" s="301"/>
      <c r="G21" s="300"/>
      <c r="H21" s="301"/>
      <c r="I21" s="45">
        <v>3961880</v>
      </c>
      <c r="J21" s="51">
        <v>95082914</v>
      </c>
      <c r="K21" s="48"/>
      <c r="L21" s="16">
        <f>B21+C21+E21-G21-J21-K21</f>
        <v>2014386929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75" t="s">
        <v>77</v>
      </c>
      <c r="B26" s="70">
        <f>50-B34</f>
        <v>38</v>
      </c>
      <c r="C26" s="296"/>
      <c r="D26" s="297"/>
      <c r="E26" s="238">
        <f t="shared" ref="E26:E37" si="0">B26+C26</f>
        <v>38</v>
      </c>
      <c r="F26" s="239"/>
      <c r="G26" s="296">
        <v>8</v>
      </c>
      <c r="H26" s="246"/>
      <c r="I26" s="297"/>
      <c r="J26" s="31">
        <v>26716</v>
      </c>
      <c r="K26" s="32">
        <f t="shared" ref="K26:K37" si="1">E26*G26*J26</f>
        <v>8121664</v>
      </c>
      <c r="L26" s="284">
        <f>SUM(K26:K29)</f>
        <v>32682528</v>
      </c>
      <c r="M26" s="265"/>
      <c r="N26" s="266"/>
    </row>
    <row r="27" spans="1:14" ht="17.25">
      <c r="A27" s="61" t="s">
        <v>78</v>
      </c>
      <c r="B27" s="62">
        <v>11</v>
      </c>
      <c r="C27" s="298">
        <v>41</v>
      </c>
      <c r="D27" s="299"/>
      <c r="E27" s="238">
        <f t="shared" si="0"/>
        <v>52</v>
      </c>
      <c r="F27" s="239"/>
      <c r="G27" s="287">
        <v>8</v>
      </c>
      <c r="H27" s="288"/>
      <c r="I27" s="289"/>
      <c r="J27" s="31">
        <v>15569</v>
      </c>
      <c r="K27" s="32">
        <f t="shared" si="1"/>
        <v>6476704</v>
      </c>
      <c r="L27" s="285"/>
      <c r="M27" s="243"/>
      <c r="N27" s="244"/>
    </row>
    <row r="28" spans="1:14" ht="17.25">
      <c r="A28" s="178" t="s">
        <v>79</v>
      </c>
      <c r="B28" s="30">
        <v>31</v>
      </c>
      <c r="C28" s="238"/>
      <c r="D28" s="239"/>
      <c r="E28" s="238">
        <f t="shared" si="0"/>
        <v>31</v>
      </c>
      <c r="F28" s="239"/>
      <c r="G28" s="287">
        <v>8</v>
      </c>
      <c r="H28" s="288"/>
      <c r="I28" s="289"/>
      <c r="J28" s="31">
        <v>11000</v>
      </c>
      <c r="K28" s="32">
        <f t="shared" si="1"/>
        <v>2728000</v>
      </c>
      <c r="L28" s="285"/>
      <c r="M28" s="243"/>
      <c r="N28" s="244"/>
    </row>
    <row r="29" spans="1:14" ht="17.25">
      <c r="A29" s="58" t="s">
        <v>37</v>
      </c>
      <c r="B29" s="59"/>
      <c r="C29" s="274">
        <v>292</v>
      </c>
      <c r="D29" s="275"/>
      <c r="E29" s="274">
        <v>186</v>
      </c>
      <c r="F29" s="275"/>
      <c r="G29" s="276">
        <v>8</v>
      </c>
      <c r="H29" s="277"/>
      <c r="I29" s="278"/>
      <c r="J29" s="34">
        <v>10320</v>
      </c>
      <c r="K29" s="60">
        <f t="shared" si="1"/>
        <v>15356160</v>
      </c>
      <c r="L29" s="285"/>
      <c r="M29" s="272"/>
      <c r="N29" s="273"/>
    </row>
    <row r="30" spans="1:14" ht="17.25">
      <c r="A30" s="63" t="s">
        <v>80</v>
      </c>
      <c r="B30" s="64">
        <v>6</v>
      </c>
      <c r="C30" s="279"/>
      <c r="D30" s="280"/>
      <c r="E30" s="279">
        <f t="shared" ref="E30" si="2">B30+C30</f>
        <v>6</v>
      </c>
      <c r="F30" s="280"/>
      <c r="G30" s="281">
        <v>2.5</v>
      </c>
      <c r="H30" s="282"/>
      <c r="I30" s="283"/>
      <c r="J30" s="65">
        <f>J26*1.5</f>
        <v>40074</v>
      </c>
      <c r="K30" s="29">
        <f t="shared" si="1"/>
        <v>601110</v>
      </c>
      <c r="L30" s="284">
        <f>SUM(K30:K33)</f>
        <v>8119278.75</v>
      </c>
      <c r="M30" s="265"/>
      <c r="N30" s="266"/>
    </row>
    <row r="31" spans="1:14" ht="17.25">
      <c r="A31" s="61" t="s">
        <v>73</v>
      </c>
      <c r="B31" s="30"/>
      <c r="C31" s="238">
        <v>5</v>
      </c>
      <c r="D31" s="239"/>
      <c r="E31" s="238">
        <f t="shared" si="0"/>
        <v>5</v>
      </c>
      <c r="F31" s="239"/>
      <c r="G31" s="240">
        <v>2.5</v>
      </c>
      <c r="H31" s="241"/>
      <c r="I31" s="242"/>
      <c r="J31" s="31">
        <f>J27*1.5</f>
        <v>23353.5</v>
      </c>
      <c r="K31" s="32">
        <f t="shared" si="1"/>
        <v>291918.75</v>
      </c>
      <c r="L31" s="285"/>
      <c r="M31" s="243"/>
      <c r="N31" s="244"/>
    </row>
    <row r="32" spans="1:14" ht="17.25">
      <c r="A32" s="178" t="s">
        <v>81</v>
      </c>
      <c r="B32" s="30">
        <v>8</v>
      </c>
      <c r="C32" s="238">
        <v>3</v>
      </c>
      <c r="D32" s="239"/>
      <c r="E32" s="238">
        <f t="shared" si="0"/>
        <v>11</v>
      </c>
      <c r="F32" s="239"/>
      <c r="G32" s="240">
        <v>2.5</v>
      </c>
      <c r="H32" s="241"/>
      <c r="I32" s="242"/>
      <c r="J32" s="31">
        <f>J28*1.5</f>
        <v>16500</v>
      </c>
      <c r="K32" s="32">
        <f t="shared" si="1"/>
        <v>453750</v>
      </c>
      <c r="L32" s="285"/>
      <c r="M32" s="243"/>
      <c r="N32" s="244"/>
    </row>
    <row r="33" spans="1:15" ht="17.25">
      <c r="A33" s="176" t="s">
        <v>74</v>
      </c>
      <c r="B33" s="33"/>
      <c r="C33" s="267">
        <v>175</v>
      </c>
      <c r="D33" s="268"/>
      <c r="E33" s="267">
        <f t="shared" si="0"/>
        <v>175</v>
      </c>
      <c r="F33" s="268"/>
      <c r="G33" s="269">
        <v>2.5</v>
      </c>
      <c r="H33" s="270"/>
      <c r="I33" s="271"/>
      <c r="J33" s="36">
        <f>J29*1.5</f>
        <v>15480</v>
      </c>
      <c r="K33" s="35">
        <f t="shared" si="1"/>
        <v>6772500</v>
      </c>
      <c r="L33" s="286"/>
      <c r="M33" s="272"/>
      <c r="N33" s="273"/>
    </row>
    <row r="34" spans="1:15" ht="17.25" customHeight="1">
      <c r="A34" s="28" t="s">
        <v>85</v>
      </c>
      <c r="B34" s="64">
        <v>12</v>
      </c>
      <c r="C34" s="257"/>
      <c r="D34" s="258"/>
      <c r="E34" s="257">
        <f t="shared" si="0"/>
        <v>12</v>
      </c>
      <c r="F34" s="258"/>
      <c r="G34" s="259">
        <v>8</v>
      </c>
      <c r="H34" s="260"/>
      <c r="I34" s="261"/>
      <c r="J34" s="65">
        <f>J26*1.5</f>
        <v>40074</v>
      </c>
      <c r="K34" s="69">
        <f t="shared" si="1"/>
        <v>3847104</v>
      </c>
      <c r="L34" s="262">
        <f>SUM(K34:K37)</f>
        <v>7852920</v>
      </c>
      <c r="M34" s="265"/>
      <c r="N34" s="266"/>
    </row>
    <row r="35" spans="1:15" ht="17.25" customHeight="1">
      <c r="A35" s="66" t="s">
        <v>76</v>
      </c>
      <c r="B35" s="30"/>
      <c r="C35" s="238">
        <v>2</v>
      </c>
      <c r="D35" s="239"/>
      <c r="E35" s="238">
        <f t="shared" si="0"/>
        <v>2</v>
      </c>
      <c r="F35" s="239"/>
      <c r="G35" s="240">
        <v>8</v>
      </c>
      <c r="H35" s="241"/>
      <c r="I35" s="242"/>
      <c r="J35" s="31">
        <f>J27*1.5</f>
        <v>23353.5</v>
      </c>
      <c r="K35" s="32">
        <f t="shared" si="1"/>
        <v>373656</v>
      </c>
      <c r="L35" s="263"/>
      <c r="M35" s="243"/>
      <c r="N35" s="244"/>
    </row>
    <row r="36" spans="1:15" ht="17.25" customHeight="1">
      <c r="A36" s="178" t="s">
        <v>82</v>
      </c>
      <c r="B36" s="30">
        <v>5</v>
      </c>
      <c r="C36" s="238"/>
      <c r="D36" s="239"/>
      <c r="E36" s="238">
        <f t="shared" si="0"/>
        <v>5</v>
      </c>
      <c r="F36" s="239"/>
      <c r="G36" s="240">
        <v>8</v>
      </c>
      <c r="H36" s="241"/>
      <c r="I36" s="242"/>
      <c r="J36" s="31">
        <v>16500</v>
      </c>
      <c r="K36" s="32">
        <f t="shared" si="1"/>
        <v>660000</v>
      </c>
      <c r="L36" s="263"/>
      <c r="M36" s="243"/>
      <c r="N36" s="244"/>
    </row>
    <row r="37" spans="1:15" ht="17.25" customHeight="1">
      <c r="A37" s="176" t="s">
        <v>83</v>
      </c>
      <c r="B37" s="33"/>
      <c r="C37" s="267">
        <v>24</v>
      </c>
      <c r="D37" s="268"/>
      <c r="E37" s="267">
        <f t="shared" si="0"/>
        <v>24</v>
      </c>
      <c r="F37" s="268"/>
      <c r="G37" s="269">
        <v>8</v>
      </c>
      <c r="H37" s="270"/>
      <c r="I37" s="271"/>
      <c r="J37" s="36">
        <v>15480</v>
      </c>
      <c r="K37" s="35">
        <f t="shared" si="1"/>
        <v>2972160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74"/>
      <c r="L38" s="37">
        <f>SUM(L26:L37)</f>
        <v>48654726.75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>
        <v>18545453</v>
      </c>
      <c r="F43" s="217"/>
      <c r="G43" s="217"/>
      <c r="H43" s="217"/>
      <c r="I43" s="205"/>
      <c r="J43" s="204"/>
      <c r="K43" s="205"/>
      <c r="L43" s="218">
        <f>SUM(E43:K48)</f>
        <v>56716374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>
        <v>625000</v>
      </c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>
        <v>14129185</v>
      </c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>
        <v>14748218</v>
      </c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>
        <v>4704137</v>
      </c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>
        <v>3964381</v>
      </c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77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392405936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105971009</v>
      </c>
      <c r="K53" s="189"/>
      <c r="L53" s="190">
        <f>J55+J58+J61+J63</f>
        <v>310158780.75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76854081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182825090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48654726.75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>
        <v>18000710</v>
      </c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>
        <f>SUM(J56:K57)</f>
        <v>66655436.75</v>
      </c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33299638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23416736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56716374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3961880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3961880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310158780.75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82247155.25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>
        <f>L65/L52</f>
        <v>0.20959712304148223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0"/>
  <sheetViews>
    <sheetView tabSelected="1" topLeftCell="A31" zoomScale="85" zoomScaleNormal="85" workbookViewId="0">
      <selection activeCell="A26" sqref="A26:A37"/>
    </sheetView>
  </sheetViews>
  <sheetFormatPr defaultRowHeight="16.5"/>
  <cols>
    <col min="1" max="1" width="24.125" customWidth="1"/>
    <col min="2" max="2" width="22.125" customWidth="1"/>
    <col min="3" max="7" width="13" customWidth="1"/>
    <col min="8" max="8" width="6.5" customWidth="1"/>
    <col min="9" max="11" width="23.625" customWidth="1"/>
    <col min="12" max="12" width="24.5" customWidth="1"/>
    <col min="13" max="13" width="26.25" customWidth="1"/>
    <col min="14" max="14" width="22.75" customWidth="1"/>
    <col min="15" max="15" width="9.375" customWidth="1"/>
  </cols>
  <sheetData>
    <row r="2" spans="1:14" ht="16.5" customHeight="1">
      <c r="A2" s="335" t="s">
        <v>71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</row>
    <row r="3" spans="1:14" ht="16.5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"/>
    </row>
    <row r="4" spans="1:14" ht="16.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1"/>
    </row>
    <row r="5" spans="1:14" ht="18.75" customHeigh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1"/>
    </row>
    <row r="6" spans="1:14" ht="11.25" customHeight="1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1"/>
    </row>
    <row r="7" spans="1:14" ht="26.25">
      <c r="N7" s="41">
        <v>46234</v>
      </c>
    </row>
    <row r="8" spans="1:14" ht="20.25">
      <c r="A8" s="42" t="s">
        <v>0</v>
      </c>
      <c r="N8" s="2" t="s">
        <v>1</v>
      </c>
    </row>
    <row r="9" spans="1:14" ht="30" customHeight="1">
      <c r="A9" s="3" t="s">
        <v>2</v>
      </c>
      <c r="B9" s="4" t="s">
        <v>3</v>
      </c>
      <c r="C9" s="311" t="s">
        <v>4</v>
      </c>
      <c r="D9" s="312"/>
      <c r="E9" s="313" t="s">
        <v>5</v>
      </c>
      <c r="F9" s="314"/>
      <c r="G9" s="315" t="s">
        <v>6</v>
      </c>
      <c r="H9" s="316"/>
      <c r="I9" s="43" t="s">
        <v>68</v>
      </c>
      <c r="J9" s="5" t="s">
        <v>7</v>
      </c>
      <c r="K9" s="6" t="s">
        <v>8</v>
      </c>
      <c r="L9" s="7" t="s">
        <v>9</v>
      </c>
      <c r="M9" s="333" t="s">
        <v>10</v>
      </c>
      <c r="N9" s="334"/>
    </row>
    <row r="10" spans="1:14" ht="24.95" customHeight="1">
      <c r="A10" s="8" t="s">
        <v>11</v>
      </c>
      <c r="B10" s="9"/>
      <c r="C10" s="319"/>
      <c r="D10" s="320"/>
      <c r="E10" s="323"/>
      <c r="F10" s="324"/>
      <c r="G10" s="319"/>
      <c r="H10" s="320"/>
      <c r="I10" s="44"/>
      <c r="J10" s="10"/>
      <c r="K10" s="53"/>
      <c r="L10" s="11">
        <f>B10+C10-J10</f>
        <v>0</v>
      </c>
      <c r="M10" s="325"/>
      <c r="N10" s="326"/>
    </row>
    <row r="11" spans="1:14" ht="24.95" customHeight="1">
      <c r="A11" s="12" t="s">
        <v>12</v>
      </c>
      <c r="B11" s="13"/>
      <c r="C11" s="300"/>
      <c r="D11" s="301"/>
      <c r="E11" s="327"/>
      <c r="F11" s="328"/>
      <c r="G11" s="300"/>
      <c r="H11" s="301"/>
      <c r="I11" s="45"/>
      <c r="J11" s="14"/>
      <c r="K11" s="15"/>
      <c r="L11" s="16">
        <f>B11+C11-J11</f>
        <v>0</v>
      </c>
      <c r="M11" s="329"/>
      <c r="N11" s="330"/>
    </row>
    <row r="12" spans="1:14" ht="5.25" customHeight="1">
      <c r="M12" s="17"/>
      <c r="N12" s="17"/>
    </row>
    <row r="13" spans="1:14" ht="19.5">
      <c r="A13" s="18" t="s">
        <v>13</v>
      </c>
      <c r="M13" s="17"/>
      <c r="N13" s="17"/>
    </row>
    <row r="14" spans="1:14" ht="30" customHeight="1">
      <c r="A14" s="3" t="s">
        <v>2</v>
      </c>
      <c r="B14" s="4" t="s">
        <v>14</v>
      </c>
      <c r="C14" s="311" t="s">
        <v>15</v>
      </c>
      <c r="D14" s="312"/>
      <c r="E14" s="331" t="s">
        <v>16</v>
      </c>
      <c r="F14" s="332"/>
      <c r="G14" s="315" t="s">
        <v>17</v>
      </c>
      <c r="H14" s="316"/>
      <c r="I14" s="43" t="s">
        <v>69</v>
      </c>
      <c r="J14" s="5" t="s">
        <v>18</v>
      </c>
      <c r="K14" s="6" t="s">
        <v>19</v>
      </c>
      <c r="L14" s="7" t="s">
        <v>20</v>
      </c>
      <c r="M14" s="333" t="s">
        <v>10</v>
      </c>
      <c r="N14" s="334"/>
    </row>
    <row r="15" spans="1:14" ht="24.95" customHeight="1">
      <c r="A15" s="8" t="s">
        <v>21</v>
      </c>
      <c r="B15" s="19"/>
      <c r="C15" s="319"/>
      <c r="D15" s="320"/>
      <c r="E15" s="323"/>
      <c r="F15" s="324"/>
      <c r="G15" s="319"/>
      <c r="H15" s="320"/>
      <c r="I15" s="44"/>
      <c r="J15" s="20"/>
      <c r="K15" s="21"/>
      <c r="L15" s="22">
        <f>B15+C15-E15-G15-J15-K15</f>
        <v>0</v>
      </c>
      <c r="M15" s="325"/>
      <c r="N15" s="326"/>
    </row>
    <row r="16" spans="1:14" ht="24" customHeight="1">
      <c r="A16" s="12" t="s">
        <v>12</v>
      </c>
      <c r="B16" s="23"/>
      <c r="C16" s="300"/>
      <c r="D16" s="301"/>
      <c r="E16" s="327"/>
      <c r="F16" s="328"/>
      <c r="G16" s="300"/>
      <c r="H16" s="301"/>
      <c r="I16" s="45"/>
      <c r="J16" s="24"/>
      <c r="K16" s="25"/>
      <c r="L16" s="16"/>
      <c r="M16" s="329"/>
      <c r="N16" s="330"/>
    </row>
    <row r="17" spans="1:14" ht="5.25" customHeight="1">
      <c r="M17" s="17"/>
      <c r="N17" s="17"/>
    </row>
    <row r="18" spans="1:14" ht="21.75" customHeight="1">
      <c r="A18" s="18" t="s">
        <v>22</v>
      </c>
      <c r="M18" s="17"/>
      <c r="N18" s="17"/>
    </row>
    <row r="19" spans="1:14" ht="30" customHeight="1">
      <c r="A19" s="3" t="s">
        <v>2</v>
      </c>
      <c r="B19" s="4" t="s">
        <v>23</v>
      </c>
      <c r="C19" s="311" t="s">
        <v>24</v>
      </c>
      <c r="D19" s="312"/>
      <c r="E19" s="313" t="s">
        <v>25</v>
      </c>
      <c r="F19" s="314"/>
      <c r="G19" s="315" t="s">
        <v>26</v>
      </c>
      <c r="H19" s="316"/>
      <c r="I19" s="43" t="s">
        <v>70</v>
      </c>
      <c r="J19" s="49" t="s">
        <v>27</v>
      </c>
      <c r="K19" s="46" t="s">
        <v>28</v>
      </c>
      <c r="L19" s="7" t="s">
        <v>29</v>
      </c>
      <c r="M19" s="317" t="s">
        <v>10</v>
      </c>
      <c r="N19" s="318"/>
    </row>
    <row r="20" spans="1:14" ht="24.95" customHeight="1">
      <c r="A20" s="8" t="s">
        <v>21</v>
      </c>
      <c r="B20" s="19"/>
      <c r="C20" s="319"/>
      <c r="D20" s="320"/>
      <c r="E20" s="319"/>
      <c r="F20" s="320"/>
      <c r="G20" s="319"/>
      <c r="H20" s="320"/>
      <c r="I20" s="44"/>
      <c r="J20" s="50"/>
      <c r="K20" s="47"/>
      <c r="L20" s="22">
        <f>B20+C20+E20-J20-K20</f>
        <v>0</v>
      </c>
      <c r="M20" s="321"/>
      <c r="N20" s="322"/>
    </row>
    <row r="21" spans="1:14" ht="24.95" customHeight="1">
      <c r="A21" s="12" t="s">
        <v>12</v>
      </c>
      <c r="B21" s="26"/>
      <c r="C21" s="300"/>
      <c r="D21" s="301"/>
      <c r="E21" s="300"/>
      <c r="F21" s="301"/>
      <c r="G21" s="300"/>
      <c r="H21" s="301"/>
      <c r="I21" s="45"/>
      <c r="J21" s="51"/>
      <c r="K21" s="48"/>
      <c r="L21" s="16">
        <f>B21+C21+E21-G21-J21-K21</f>
        <v>0</v>
      </c>
      <c r="M21" s="302"/>
      <c r="N21" s="303"/>
    </row>
    <row r="22" spans="1:14" ht="1.5" customHeight="1">
      <c r="B22" s="52"/>
      <c r="M22" s="17"/>
      <c r="N22" s="17"/>
    </row>
    <row r="23" spans="1:14" ht="19.5">
      <c r="A23" s="18" t="s">
        <v>30</v>
      </c>
      <c r="M23" s="17"/>
      <c r="N23" s="17"/>
    </row>
    <row r="24" spans="1:14" ht="17.25" customHeight="1">
      <c r="A24" s="304" t="s">
        <v>31</v>
      </c>
      <c r="B24" s="304" t="s">
        <v>31</v>
      </c>
      <c r="C24" s="305"/>
      <c r="D24" s="295"/>
      <c r="E24" s="296" t="s">
        <v>32</v>
      </c>
      <c r="F24" s="297"/>
      <c r="G24" s="296" t="s">
        <v>33</v>
      </c>
      <c r="H24" s="246"/>
      <c r="I24" s="297"/>
      <c r="J24" s="308" t="s">
        <v>72</v>
      </c>
      <c r="K24" s="309" t="s">
        <v>34</v>
      </c>
      <c r="L24" s="290" t="s">
        <v>35</v>
      </c>
      <c r="M24" s="292" t="s">
        <v>10</v>
      </c>
      <c r="N24" s="293"/>
    </row>
    <row r="25" spans="1:14" ht="17.25">
      <c r="A25" s="304"/>
      <c r="B25" s="27" t="s">
        <v>75</v>
      </c>
      <c r="C25" s="294" t="s">
        <v>36</v>
      </c>
      <c r="D25" s="295"/>
      <c r="E25" s="306"/>
      <c r="F25" s="307"/>
      <c r="G25" s="306"/>
      <c r="H25" s="249"/>
      <c r="I25" s="307"/>
      <c r="J25" s="308"/>
      <c r="K25" s="310"/>
      <c r="L25" s="291"/>
      <c r="M25" s="292"/>
      <c r="N25" s="293"/>
    </row>
    <row r="26" spans="1:14" ht="17.25">
      <c r="A26" s="180" t="s">
        <v>77</v>
      </c>
      <c r="B26" s="70"/>
      <c r="C26" s="296"/>
      <c r="D26" s="297"/>
      <c r="E26" s="238"/>
      <c r="F26" s="239"/>
      <c r="G26" s="296"/>
      <c r="H26" s="246"/>
      <c r="I26" s="297"/>
      <c r="J26" s="31">
        <v>26716</v>
      </c>
      <c r="K26" s="32">
        <f t="shared" ref="K26:K37" si="0">E26*G26*J26</f>
        <v>0</v>
      </c>
      <c r="L26" s="284">
        <f>SUM(K26:K29)</f>
        <v>0</v>
      </c>
      <c r="M26" s="265"/>
      <c r="N26" s="266"/>
    </row>
    <row r="27" spans="1:14" ht="17.25">
      <c r="A27" s="61" t="s">
        <v>78</v>
      </c>
      <c r="B27" s="62"/>
      <c r="C27" s="298"/>
      <c r="D27" s="299"/>
      <c r="E27" s="238"/>
      <c r="F27" s="239"/>
      <c r="G27" s="287"/>
      <c r="H27" s="288"/>
      <c r="I27" s="289"/>
      <c r="J27" s="31">
        <v>15569</v>
      </c>
      <c r="K27" s="32">
        <f t="shared" si="0"/>
        <v>0</v>
      </c>
      <c r="L27" s="285"/>
      <c r="M27" s="243"/>
      <c r="N27" s="244"/>
    </row>
    <row r="28" spans="1:14" ht="17.25">
      <c r="A28" s="183" t="s">
        <v>79</v>
      </c>
      <c r="B28" s="30"/>
      <c r="C28" s="238"/>
      <c r="D28" s="239"/>
      <c r="E28" s="238"/>
      <c r="F28" s="239"/>
      <c r="G28" s="287"/>
      <c r="H28" s="288"/>
      <c r="I28" s="289"/>
      <c r="J28" s="31">
        <v>11000</v>
      </c>
      <c r="K28" s="32">
        <f t="shared" si="0"/>
        <v>0</v>
      </c>
      <c r="L28" s="285"/>
      <c r="M28" s="243"/>
      <c r="N28" s="244"/>
    </row>
    <row r="29" spans="1:14" ht="17.25">
      <c r="A29" s="58" t="s">
        <v>37</v>
      </c>
      <c r="B29" s="59"/>
      <c r="C29" s="274"/>
      <c r="D29" s="275"/>
      <c r="E29" s="274"/>
      <c r="F29" s="275"/>
      <c r="G29" s="276"/>
      <c r="H29" s="277"/>
      <c r="I29" s="278"/>
      <c r="J29" s="34">
        <v>10320</v>
      </c>
      <c r="K29" s="60">
        <f t="shared" si="0"/>
        <v>0</v>
      </c>
      <c r="L29" s="285"/>
      <c r="M29" s="272"/>
      <c r="N29" s="273"/>
    </row>
    <row r="30" spans="1:14" ht="17.25">
      <c r="A30" s="63" t="s">
        <v>80</v>
      </c>
      <c r="B30" s="64"/>
      <c r="C30" s="279"/>
      <c r="D30" s="280"/>
      <c r="E30" s="279"/>
      <c r="F30" s="280"/>
      <c r="G30" s="281"/>
      <c r="H30" s="282"/>
      <c r="I30" s="283"/>
      <c r="J30" s="65">
        <f>J26*1.5</f>
        <v>40074</v>
      </c>
      <c r="K30" s="29">
        <f t="shared" si="0"/>
        <v>0</v>
      </c>
      <c r="L30" s="284">
        <f>SUM(K30:K33)</f>
        <v>0</v>
      </c>
      <c r="M30" s="265"/>
      <c r="N30" s="266"/>
    </row>
    <row r="31" spans="1:14" ht="17.25">
      <c r="A31" s="61" t="s">
        <v>73</v>
      </c>
      <c r="B31" s="30"/>
      <c r="C31" s="238"/>
      <c r="D31" s="239"/>
      <c r="E31" s="238"/>
      <c r="F31" s="239"/>
      <c r="G31" s="240"/>
      <c r="H31" s="241"/>
      <c r="I31" s="242"/>
      <c r="J31" s="31">
        <f>J27*1.5</f>
        <v>23353.5</v>
      </c>
      <c r="K31" s="32">
        <f t="shared" si="0"/>
        <v>0</v>
      </c>
      <c r="L31" s="285"/>
      <c r="M31" s="243"/>
      <c r="N31" s="244"/>
    </row>
    <row r="32" spans="1:14" ht="17.25">
      <c r="A32" s="183" t="s">
        <v>81</v>
      </c>
      <c r="B32" s="30"/>
      <c r="C32" s="238"/>
      <c r="D32" s="239"/>
      <c r="E32" s="238"/>
      <c r="F32" s="239"/>
      <c r="G32" s="240"/>
      <c r="H32" s="241"/>
      <c r="I32" s="242"/>
      <c r="J32" s="31">
        <f>J28*1.5</f>
        <v>16500</v>
      </c>
      <c r="K32" s="32">
        <f t="shared" si="0"/>
        <v>0</v>
      </c>
      <c r="L32" s="285"/>
      <c r="M32" s="243"/>
      <c r="N32" s="244"/>
    </row>
    <row r="33" spans="1:15" ht="17.25">
      <c r="A33" s="181" t="s">
        <v>74</v>
      </c>
      <c r="B33" s="33"/>
      <c r="C33" s="267"/>
      <c r="D33" s="268"/>
      <c r="E33" s="267"/>
      <c r="F33" s="268"/>
      <c r="G33" s="269"/>
      <c r="H33" s="270"/>
      <c r="I33" s="271"/>
      <c r="J33" s="36">
        <f>J29*1.5</f>
        <v>15480</v>
      </c>
      <c r="K33" s="35">
        <f t="shared" si="0"/>
        <v>0</v>
      </c>
      <c r="L33" s="286"/>
      <c r="M33" s="272"/>
      <c r="N33" s="273"/>
    </row>
    <row r="34" spans="1:15" ht="17.25" customHeight="1">
      <c r="A34" s="28" t="s">
        <v>85</v>
      </c>
      <c r="B34" s="64"/>
      <c r="C34" s="257"/>
      <c r="D34" s="258"/>
      <c r="E34" s="257"/>
      <c r="F34" s="258"/>
      <c r="G34" s="259"/>
      <c r="H34" s="260"/>
      <c r="I34" s="261"/>
      <c r="J34" s="65">
        <f>J26*1.5</f>
        <v>40074</v>
      </c>
      <c r="K34" s="69">
        <f t="shared" si="0"/>
        <v>0</v>
      </c>
      <c r="L34" s="262">
        <f>SUM(K34:K37)</f>
        <v>0</v>
      </c>
      <c r="M34" s="265"/>
      <c r="N34" s="266"/>
    </row>
    <row r="35" spans="1:15" ht="17.25" customHeight="1">
      <c r="A35" s="66" t="s">
        <v>76</v>
      </c>
      <c r="B35" s="30"/>
      <c r="C35" s="238"/>
      <c r="D35" s="239"/>
      <c r="E35" s="238"/>
      <c r="F35" s="239"/>
      <c r="G35" s="240"/>
      <c r="H35" s="241"/>
      <c r="I35" s="242"/>
      <c r="J35" s="31">
        <f>J27*1.5</f>
        <v>23353.5</v>
      </c>
      <c r="K35" s="32">
        <f t="shared" si="0"/>
        <v>0</v>
      </c>
      <c r="L35" s="263"/>
      <c r="M35" s="243"/>
      <c r="N35" s="244"/>
    </row>
    <row r="36" spans="1:15" ht="17.25" customHeight="1">
      <c r="A36" s="183" t="s">
        <v>82</v>
      </c>
      <c r="B36" s="30"/>
      <c r="C36" s="238"/>
      <c r="D36" s="239"/>
      <c r="E36" s="238"/>
      <c r="F36" s="239"/>
      <c r="G36" s="240"/>
      <c r="H36" s="241"/>
      <c r="I36" s="242"/>
      <c r="J36" s="31">
        <v>16500</v>
      </c>
      <c r="K36" s="32">
        <f t="shared" si="0"/>
        <v>0</v>
      </c>
      <c r="L36" s="263"/>
      <c r="M36" s="243"/>
      <c r="N36" s="244"/>
    </row>
    <row r="37" spans="1:15" ht="17.25" customHeight="1">
      <c r="A37" s="181" t="s">
        <v>83</v>
      </c>
      <c r="B37" s="33"/>
      <c r="C37" s="267"/>
      <c r="D37" s="268"/>
      <c r="E37" s="267"/>
      <c r="F37" s="268"/>
      <c r="G37" s="269"/>
      <c r="H37" s="270"/>
      <c r="I37" s="271"/>
      <c r="J37" s="36">
        <v>15480</v>
      </c>
      <c r="K37" s="35">
        <f t="shared" si="0"/>
        <v>0</v>
      </c>
      <c r="L37" s="264"/>
      <c r="M37" s="272"/>
      <c r="N37" s="273"/>
    </row>
    <row r="38" spans="1:15" ht="18.75" customHeight="1">
      <c r="A38" s="234" t="s">
        <v>84</v>
      </c>
      <c r="B38" s="235"/>
      <c r="C38" s="235"/>
      <c r="D38" s="235"/>
      <c r="E38" s="235"/>
      <c r="F38" s="235"/>
      <c r="G38" s="235"/>
      <c r="H38" s="235"/>
      <c r="I38" s="235"/>
      <c r="J38" s="235"/>
      <c r="K38" s="179"/>
      <c r="L38" s="37">
        <f>SUM(L26:L37)</f>
        <v>0</v>
      </c>
      <c r="M38" s="236"/>
      <c r="N38" s="237"/>
    </row>
    <row r="39" spans="1:15" ht="2.25" customHeight="1">
      <c r="M39" s="17"/>
      <c r="N39" s="17"/>
    </row>
    <row r="40" spans="1:15" ht="19.5">
      <c r="A40" s="18" t="s">
        <v>38</v>
      </c>
      <c r="M40" s="17"/>
      <c r="N40" s="17"/>
    </row>
    <row r="41" spans="1:15" ht="16.5" customHeight="1">
      <c r="A41" s="245" t="s">
        <v>31</v>
      </c>
      <c r="B41" s="246"/>
      <c r="C41" s="246"/>
      <c r="D41" s="247"/>
      <c r="E41" s="245" t="s">
        <v>39</v>
      </c>
      <c r="F41" s="246"/>
      <c r="G41" s="246"/>
      <c r="H41" s="246"/>
      <c r="I41" s="247"/>
      <c r="J41" s="245" t="s">
        <v>40</v>
      </c>
      <c r="K41" s="247"/>
      <c r="L41" s="251" t="s">
        <v>35</v>
      </c>
      <c r="M41" s="253" t="s">
        <v>10</v>
      </c>
      <c r="N41" s="254"/>
    </row>
    <row r="42" spans="1:15" ht="16.5" customHeight="1">
      <c r="A42" s="248"/>
      <c r="B42" s="249"/>
      <c r="C42" s="249"/>
      <c r="D42" s="250"/>
      <c r="E42" s="248"/>
      <c r="F42" s="249"/>
      <c r="G42" s="249"/>
      <c r="H42" s="249"/>
      <c r="I42" s="250"/>
      <c r="J42" s="248"/>
      <c r="K42" s="250"/>
      <c r="L42" s="252"/>
      <c r="M42" s="255"/>
      <c r="N42" s="256"/>
    </row>
    <row r="43" spans="1:15" ht="17.25">
      <c r="A43" s="195" t="s">
        <v>41</v>
      </c>
      <c r="B43" s="196"/>
      <c r="C43" s="197" t="s">
        <v>42</v>
      </c>
      <c r="D43" s="198"/>
      <c r="E43" s="204"/>
      <c r="F43" s="217"/>
      <c r="G43" s="217"/>
      <c r="H43" s="217"/>
      <c r="I43" s="205"/>
      <c r="J43" s="204"/>
      <c r="K43" s="205"/>
      <c r="L43" s="218">
        <f>SUM(E43:K48)</f>
        <v>0</v>
      </c>
      <c r="M43" s="221"/>
      <c r="N43" s="222"/>
    </row>
    <row r="44" spans="1:15" ht="17.25">
      <c r="A44" s="208" t="s">
        <v>43</v>
      </c>
      <c r="B44" s="209"/>
      <c r="C44" s="197"/>
      <c r="D44" s="198"/>
      <c r="E44" s="213"/>
      <c r="F44" s="223"/>
      <c r="G44" s="223"/>
      <c r="H44" s="223"/>
      <c r="I44" s="214"/>
      <c r="J44" s="213"/>
      <c r="K44" s="214"/>
      <c r="L44" s="219"/>
      <c r="M44" s="206"/>
      <c r="N44" s="207"/>
    </row>
    <row r="45" spans="1:15" ht="17.25">
      <c r="A45" s="215" t="s">
        <v>44</v>
      </c>
      <c r="B45" s="216"/>
      <c r="C45" s="199"/>
      <c r="D45" s="200"/>
      <c r="E45" s="224"/>
      <c r="F45" s="225"/>
      <c r="G45" s="225"/>
      <c r="H45" s="225"/>
      <c r="I45" s="226"/>
      <c r="J45" s="227"/>
      <c r="K45" s="228"/>
      <c r="L45" s="219"/>
      <c r="M45" s="206"/>
      <c r="N45" s="207"/>
      <c r="O45" s="56"/>
    </row>
    <row r="46" spans="1:15" ht="17.25">
      <c r="A46" s="195" t="s">
        <v>45</v>
      </c>
      <c r="B46" s="196"/>
      <c r="C46" s="197" t="s">
        <v>46</v>
      </c>
      <c r="D46" s="198"/>
      <c r="E46" s="201"/>
      <c r="F46" s="202"/>
      <c r="G46" s="202"/>
      <c r="H46" s="202"/>
      <c r="I46" s="203"/>
      <c r="J46" s="204"/>
      <c r="K46" s="205"/>
      <c r="L46" s="219"/>
      <c r="M46" s="206"/>
      <c r="N46" s="207"/>
    </row>
    <row r="47" spans="1:15" ht="17.25">
      <c r="A47" s="208" t="s">
        <v>47</v>
      </c>
      <c r="B47" s="209"/>
      <c r="C47" s="197"/>
      <c r="D47" s="198"/>
      <c r="E47" s="210"/>
      <c r="F47" s="211"/>
      <c r="G47" s="211"/>
      <c r="H47" s="211"/>
      <c r="I47" s="212"/>
      <c r="J47" s="213"/>
      <c r="K47" s="214"/>
      <c r="L47" s="219"/>
      <c r="M47" s="206"/>
      <c r="N47" s="207"/>
    </row>
    <row r="48" spans="1:15" ht="17.25">
      <c r="A48" s="215" t="s">
        <v>48</v>
      </c>
      <c r="B48" s="216"/>
      <c r="C48" s="199"/>
      <c r="D48" s="200"/>
      <c r="E48" s="229"/>
      <c r="F48" s="230"/>
      <c r="G48" s="230"/>
      <c r="H48" s="230"/>
      <c r="I48" s="231"/>
      <c r="J48" s="224"/>
      <c r="K48" s="226"/>
      <c r="L48" s="220"/>
      <c r="M48" s="232"/>
      <c r="N48" s="233"/>
    </row>
    <row r="49" spans="1:14" ht="0.75" customHeight="1">
      <c r="M49" s="17"/>
      <c r="N49" s="17"/>
    </row>
    <row r="50" spans="1:14" ht="19.5">
      <c r="A50" s="18" t="s">
        <v>49</v>
      </c>
      <c r="M50" s="17"/>
      <c r="N50" s="17"/>
    </row>
    <row r="51" spans="1:14" ht="18" customHeight="1">
      <c r="A51" s="184" t="s">
        <v>50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2" t="s">
        <v>51</v>
      </c>
      <c r="M51" s="194" t="s">
        <v>10</v>
      </c>
      <c r="N51" s="194"/>
    </row>
    <row r="52" spans="1:14" ht="19.5" customHeight="1">
      <c r="A52" s="190" t="s">
        <v>52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38">
        <f>C21+E21</f>
        <v>0</v>
      </c>
      <c r="M52" s="185"/>
      <c r="N52" s="185"/>
    </row>
    <row r="53" spans="1:14" ht="17.25">
      <c r="A53" s="190" t="s">
        <v>53</v>
      </c>
      <c r="B53" s="190" t="s">
        <v>54</v>
      </c>
      <c r="C53" s="190"/>
      <c r="D53" s="190"/>
      <c r="E53" s="186" t="s">
        <v>55</v>
      </c>
      <c r="F53" s="187"/>
      <c r="G53" s="187"/>
      <c r="H53" s="187"/>
      <c r="I53" s="188"/>
      <c r="J53" s="189">
        <f>J11+K11</f>
        <v>0</v>
      </c>
      <c r="K53" s="189"/>
      <c r="L53" s="190">
        <f>J55+J58+J61+J63</f>
        <v>0</v>
      </c>
      <c r="M53" s="185"/>
      <c r="N53" s="185"/>
    </row>
    <row r="54" spans="1:14" ht="19.5" customHeight="1">
      <c r="A54" s="190"/>
      <c r="B54" s="190"/>
      <c r="C54" s="190"/>
      <c r="D54" s="190"/>
      <c r="E54" s="186" t="s">
        <v>56</v>
      </c>
      <c r="F54" s="187"/>
      <c r="G54" s="187"/>
      <c r="H54" s="187"/>
      <c r="I54" s="188"/>
      <c r="J54" s="189">
        <f>J16</f>
        <v>0</v>
      </c>
      <c r="K54" s="189"/>
      <c r="L54" s="190"/>
      <c r="M54" s="185"/>
      <c r="N54" s="185"/>
    </row>
    <row r="55" spans="1:14" ht="19.5" customHeight="1">
      <c r="A55" s="190"/>
      <c r="B55" s="186" t="s">
        <v>57</v>
      </c>
      <c r="C55" s="187"/>
      <c r="D55" s="187"/>
      <c r="E55" s="187"/>
      <c r="F55" s="187"/>
      <c r="G55" s="187"/>
      <c r="H55" s="187"/>
      <c r="I55" s="188"/>
      <c r="J55" s="189">
        <f>SUM(J53:K54)</f>
        <v>0</v>
      </c>
      <c r="K55" s="189"/>
      <c r="L55" s="190"/>
      <c r="M55" s="185"/>
      <c r="N55" s="185"/>
    </row>
    <row r="56" spans="1:14" ht="17.25">
      <c r="A56" s="190"/>
      <c r="B56" s="184" t="s">
        <v>58</v>
      </c>
      <c r="C56" s="184"/>
      <c r="D56" s="184"/>
      <c r="E56" s="191" t="s">
        <v>59</v>
      </c>
      <c r="F56" s="192"/>
      <c r="G56" s="192"/>
      <c r="H56" s="192"/>
      <c r="I56" s="193"/>
      <c r="J56" s="189">
        <f>L38</f>
        <v>0</v>
      </c>
      <c r="K56" s="189"/>
      <c r="L56" s="190"/>
      <c r="M56" s="185"/>
      <c r="N56" s="185"/>
    </row>
    <row r="57" spans="1:14" ht="17.25">
      <c r="A57" s="190"/>
      <c r="B57" s="184"/>
      <c r="C57" s="184"/>
      <c r="D57" s="184"/>
      <c r="E57" s="191" t="s">
        <v>60</v>
      </c>
      <c r="F57" s="192"/>
      <c r="G57" s="192"/>
      <c r="H57" s="192"/>
      <c r="I57" s="193"/>
      <c r="J57" s="189"/>
      <c r="K57" s="189"/>
      <c r="L57" s="190"/>
      <c r="M57" s="185"/>
      <c r="N57" s="185"/>
    </row>
    <row r="58" spans="1:14" ht="17.25">
      <c r="A58" s="190"/>
      <c r="B58" s="186" t="s">
        <v>57</v>
      </c>
      <c r="C58" s="187"/>
      <c r="D58" s="187"/>
      <c r="E58" s="187"/>
      <c r="F58" s="187"/>
      <c r="G58" s="187"/>
      <c r="H58" s="187"/>
      <c r="I58" s="188"/>
      <c r="J58" s="189"/>
      <c r="K58" s="189"/>
      <c r="L58" s="190"/>
      <c r="M58" s="185"/>
      <c r="N58" s="185"/>
    </row>
    <row r="59" spans="1:14" ht="17.25">
      <c r="A59" s="190"/>
      <c r="B59" s="184" t="s">
        <v>61</v>
      </c>
      <c r="C59" s="184"/>
      <c r="D59" s="184"/>
      <c r="E59" s="191" t="s">
        <v>62</v>
      </c>
      <c r="F59" s="192"/>
      <c r="G59" s="192"/>
      <c r="H59" s="192"/>
      <c r="I59" s="193"/>
      <c r="J59" s="189">
        <f>SUM(E43:I45)</f>
        <v>0</v>
      </c>
      <c r="K59" s="189"/>
      <c r="L59" s="190"/>
      <c r="M59" s="185"/>
      <c r="N59" s="185"/>
    </row>
    <row r="60" spans="1:14" ht="18" customHeight="1">
      <c r="A60" s="190"/>
      <c r="B60" s="184"/>
      <c r="C60" s="184"/>
      <c r="D60" s="184"/>
      <c r="E60" s="191" t="s">
        <v>63</v>
      </c>
      <c r="F60" s="192"/>
      <c r="G60" s="192"/>
      <c r="H60" s="192"/>
      <c r="I60" s="193"/>
      <c r="J60" s="189">
        <f>SUM(J46:K48)</f>
        <v>0</v>
      </c>
      <c r="K60" s="189"/>
      <c r="L60" s="190"/>
      <c r="M60" s="185"/>
      <c r="N60" s="185"/>
    </row>
    <row r="61" spans="1:14" ht="18" customHeight="1">
      <c r="A61" s="190"/>
      <c r="B61" s="186" t="s">
        <v>57</v>
      </c>
      <c r="C61" s="187"/>
      <c r="D61" s="187"/>
      <c r="E61" s="187"/>
      <c r="F61" s="187"/>
      <c r="G61" s="187"/>
      <c r="H61" s="187"/>
      <c r="I61" s="188"/>
      <c r="J61" s="189">
        <f>SUM(J59:K60)</f>
        <v>0</v>
      </c>
      <c r="K61" s="189"/>
      <c r="L61" s="190"/>
      <c r="M61" s="185"/>
      <c r="N61" s="185"/>
    </row>
    <row r="62" spans="1:14" ht="18" customHeight="1">
      <c r="A62" s="190"/>
      <c r="B62" s="186" t="s">
        <v>67</v>
      </c>
      <c r="C62" s="187"/>
      <c r="D62" s="187"/>
      <c r="E62" s="187"/>
      <c r="F62" s="187"/>
      <c r="G62" s="187"/>
      <c r="H62" s="187"/>
      <c r="I62" s="188"/>
      <c r="J62" s="189">
        <f>I21</f>
        <v>0</v>
      </c>
      <c r="K62" s="189"/>
      <c r="L62" s="190"/>
      <c r="M62" s="185"/>
      <c r="N62" s="185"/>
    </row>
    <row r="63" spans="1:14" ht="18" customHeight="1">
      <c r="A63" s="190"/>
      <c r="B63" s="186" t="s">
        <v>57</v>
      </c>
      <c r="C63" s="187"/>
      <c r="D63" s="187"/>
      <c r="E63" s="187"/>
      <c r="F63" s="187"/>
      <c r="G63" s="187"/>
      <c r="H63" s="187"/>
      <c r="I63" s="188"/>
      <c r="J63" s="189">
        <f>SUM(J62:K62)</f>
        <v>0</v>
      </c>
      <c r="K63" s="189"/>
      <c r="L63" s="190"/>
      <c r="M63" s="185"/>
      <c r="N63" s="185"/>
    </row>
    <row r="64" spans="1:14" ht="18" customHeight="1">
      <c r="A64" s="190"/>
      <c r="B64" s="186" t="s">
        <v>64</v>
      </c>
      <c r="C64" s="187"/>
      <c r="D64" s="187"/>
      <c r="E64" s="187"/>
      <c r="F64" s="187"/>
      <c r="G64" s="187"/>
      <c r="H64" s="187"/>
      <c r="I64" s="188"/>
      <c r="J64" s="189">
        <f>J55+J58+J61+J63</f>
        <v>0</v>
      </c>
      <c r="K64" s="189"/>
      <c r="L64" s="190"/>
      <c r="M64" s="185"/>
      <c r="N64" s="185"/>
    </row>
    <row r="65" spans="1:14" ht="19.5" customHeight="1">
      <c r="A65" s="184" t="s">
        <v>65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39">
        <f>L52-L53</f>
        <v>0</v>
      </c>
      <c r="M65" s="185"/>
      <c r="N65" s="185"/>
    </row>
    <row r="66" spans="1:14" ht="19.5" customHeight="1">
      <c r="A66" s="184" t="s">
        <v>66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40" t="e">
        <f>L65/L52</f>
        <v>#DIV/0!</v>
      </c>
      <c r="M66" s="185"/>
      <c r="N66" s="185"/>
    </row>
    <row r="68" spans="1:14">
      <c r="A68" s="54"/>
      <c r="B68" s="54"/>
      <c r="C68" s="54"/>
      <c r="D68" s="54"/>
      <c r="E68" s="54"/>
      <c r="F68" s="54"/>
      <c r="G68" s="55"/>
      <c r="H68" s="55"/>
      <c r="L68" s="57"/>
    </row>
    <row r="69" spans="1:14">
      <c r="A69" s="54"/>
      <c r="B69" s="128"/>
      <c r="C69" s="54"/>
      <c r="D69" s="54"/>
      <c r="E69" s="54"/>
      <c r="F69" s="54"/>
      <c r="G69" s="54"/>
      <c r="H69" s="54"/>
      <c r="L69" s="57"/>
    </row>
    <row r="70" spans="1:14">
      <c r="A70" s="54"/>
      <c r="B70" s="128"/>
      <c r="C70" s="54"/>
      <c r="D70" s="54"/>
      <c r="E70" s="54"/>
      <c r="F70" s="54"/>
      <c r="G70" s="54"/>
      <c r="H70" s="54"/>
      <c r="I70" s="54"/>
      <c r="J70" s="55"/>
      <c r="K70" s="55"/>
    </row>
    <row r="71" spans="1:1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</row>
    <row r="72" spans="1:1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</row>
    <row r="73" spans="1:1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</row>
    <row r="74" spans="1:1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</row>
    <row r="75" spans="1:1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</row>
    <row r="76" spans="1:1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</row>
    <row r="77" spans="1:14">
      <c r="A77" s="54"/>
      <c r="B77" s="54"/>
      <c r="C77" s="54"/>
      <c r="D77" s="54"/>
      <c r="E77" s="54"/>
      <c r="F77" s="54"/>
      <c r="G77" s="54"/>
      <c r="H77" s="54"/>
    </row>
    <row r="78" spans="1:14">
      <c r="A78" s="54"/>
      <c r="B78" s="54"/>
      <c r="C78" s="54"/>
      <c r="D78" s="54"/>
      <c r="E78" s="54"/>
      <c r="F78" s="54"/>
      <c r="G78" s="54"/>
      <c r="H78" s="54"/>
    </row>
    <row r="79" spans="1:14">
      <c r="A79" s="54"/>
      <c r="B79" s="54"/>
      <c r="C79" s="54"/>
      <c r="D79" s="54"/>
      <c r="E79" s="54"/>
      <c r="F79" s="54"/>
      <c r="G79" s="54"/>
      <c r="H79" s="54"/>
    </row>
    <row r="80" spans="1:14">
      <c r="B80" s="55"/>
      <c r="C80" s="55"/>
      <c r="D80" s="55"/>
      <c r="E80" s="55"/>
      <c r="F80" s="55"/>
      <c r="G80" s="55"/>
    </row>
  </sheetData>
  <mergeCells count="180">
    <mergeCell ref="A66:K66"/>
    <mergeCell ref="M66:N66"/>
    <mergeCell ref="B63:I63"/>
    <mergeCell ref="J63:K63"/>
    <mergeCell ref="M63:N63"/>
    <mergeCell ref="B64:I64"/>
    <mergeCell ref="J64:K64"/>
    <mergeCell ref="M64:N64"/>
    <mergeCell ref="A53:A64"/>
    <mergeCell ref="B53:D54"/>
    <mergeCell ref="E53:I53"/>
    <mergeCell ref="J53:K53"/>
    <mergeCell ref="B59:D60"/>
    <mergeCell ref="E59:I59"/>
    <mergeCell ref="J59:K59"/>
    <mergeCell ref="M59:N59"/>
    <mergeCell ref="E60:I60"/>
    <mergeCell ref="J60:K60"/>
    <mergeCell ref="M60:N60"/>
    <mergeCell ref="A65:K65"/>
    <mergeCell ref="M65:N65"/>
    <mergeCell ref="J55:K55"/>
    <mergeCell ref="M55:N55"/>
    <mergeCell ref="B56:D57"/>
    <mergeCell ref="E56:I56"/>
    <mergeCell ref="J56:K56"/>
    <mergeCell ref="M56:N56"/>
    <mergeCell ref="E57:I57"/>
    <mergeCell ref="J57:K57"/>
    <mergeCell ref="M57:N57"/>
    <mergeCell ref="L53:L64"/>
    <mergeCell ref="M53:N53"/>
    <mergeCell ref="E54:I54"/>
    <mergeCell ref="J54:K54"/>
    <mergeCell ref="M54:N54"/>
    <mergeCell ref="B55:I55"/>
    <mergeCell ref="B61:I61"/>
    <mergeCell ref="J61:K61"/>
    <mergeCell ref="M61:N61"/>
    <mergeCell ref="B62:I62"/>
    <mergeCell ref="J62:K62"/>
    <mergeCell ref="M62:N62"/>
    <mergeCell ref="B58:I58"/>
    <mergeCell ref="J58:K58"/>
    <mergeCell ref="M58:N58"/>
    <mergeCell ref="A51:K51"/>
    <mergeCell ref="M51:N51"/>
    <mergeCell ref="A52:K52"/>
    <mergeCell ref="M52:N52"/>
    <mergeCell ref="A46:B46"/>
    <mergeCell ref="C46:D48"/>
    <mergeCell ref="E46:I46"/>
    <mergeCell ref="J46:K46"/>
    <mergeCell ref="M46:N46"/>
    <mergeCell ref="A47:B47"/>
    <mergeCell ref="E47:I47"/>
    <mergeCell ref="J47:K47"/>
    <mergeCell ref="M47:N47"/>
    <mergeCell ref="A48:B48"/>
    <mergeCell ref="A41:D42"/>
    <mergeCell ref="E41:I42"/>
    <mergeCell ref="J41:K42"/>
    <mergeCell ref="L41:L42"/>
    <mergeCell ref="M41:N42"/>
    <mergeCell ref="A43:B43"/>
    <mergeCell ref="C43:D45"/>
    <mergeCell ref="E43:I43"/>
    <mergeCell ref="J43:K43"/>
    <mergeCell ref="L43:L48"/>
    <mergeCell ref="M43:N43"/>
    <mergeCell ref="A44:B44"/>
    <mergeCell ref="E44:I44"/>
    <mergeCell ref="J44:K44"/>
    <mergeCell ref="M44:N44"/>
    <mergeCell ref="A45:B45"/>
    <mergeCell ref="E45:I45"/>
    <mergeCell ref="J45:K45"/>
    <mergeCell ref="M45:N45"/>
    <mergeCell ref="E48:I48"/>
    <mergeCell ref="J48:K48"/>
    <mergeCell ref="M48:N48"/>
    <mergeCell ref="A38:J38"/>
    <mergeCell ref="M38:N38"/>
    <mergeCell ref="E35:F35"/>
    <mergeCell ref="G35:I35"/>
    <mergeCell ref="M35:N35"/>
    <mergeCell ref="C36:D36"/>
    <mergeCell ref="E36:F36"/>
    <mergeCell ref="G36:I36"/>
    <mergeCell ref="M36:N36"/>
    <mergeCell ref="C34:D34"/>
    <mergeCell ref="E34:F34"/>
    <mergeCell ref="G34:I34"/>
    <mergeCell ref="L34:L37"/>
    <mergeCell ref="M34:N34"/>
    <mergeCell ref="C35:D35"/>
    <mergeCell ref="C37:D37"/>
    <mergeCell ref="E37:F37"/>
    <mergeCell ref="G37:I37"/>
    <mergeCell ref="M37:N37"/>
    <mergeCell ref="E31:F31"/>
    <mergeCell ref="G31:I31"/>
    <mergeCell ref="M31:N31"/>
    <mergeCell ref="C32:D32"/>
    <mergeCell ref="E32:F32"/>
    <mergeCell ref="G32:I32"/>
    <mergeCell ref="M32:N32"/>
    <mergeCell ref="C29:D29"/>
    <mergeCell ref="E29:F29"/>
    <mergeCell ref="G29:I29"/>
    <mergeCell ref="M29:N29"/>
    <mergeCell ref="C30:D30"/>
    <mergeCell ref="E30:F30"/>
    <mergeCell ref="G30:I30"/>
    <mergeCell ref="L30:L33"/>
    <mergeCell ref="M30:N30"/>
    <mergeCell ref="C31:D31"/>
    <mergeCell ref="C33:D33"/>
    <mergeCell ref="E33:F33"/>
    <mergeCell ref="G33:I33"/>
    <mergeCell ref="M33:N33"/>
    <mergeCell ref="G27:I27"/>
    <mergeCell ref="M27:N27"/>
    <mergeCell ref="C28:D28"/>
    <mergeCell ref="E28:F28"/>
    <mergeCell ref="G28:I28"/>
    <mergeCell ref="M28:N28"/>
    <mergeCell ref="L24:L25"/>
    <mergeCell ref="M24:N25"/>
    <mergeCell ref="C25:D25"/>
    <mergeCell ref="C26:D26"/>
    <mergeCell ref="E26:F26"/>
    <mergeCell ref="G26:I26"/>
    <mergeCell ref="L26:L29"/>
    <mergeCell ref="M26:N26"/>
    <mergeCell ref="C27:D27"/>
    <mergeCell ref="E27:F27"/>
    <mergeCell ref="C21:D21"/>
    <mergeCell ref="E21:F21"/>
    <mergeCell ref="G21:H21"/>
    <mergeCell ref="M21:N21"/>
    <mergeCell ref="A24:A25"/>
    <mergeCell ref="B24:D24"/>
    <mergeCell ref="E24:F25"/>
    <mergeCell ref="G24:I25"/>
    <mergeCell ref="J24:J25"/>
    <mergeCell ref="K24:K25"/>
    <mergeCell ref="C19:D19"/>
    <mergeCell ref="E19:F19"/>
    <mergeCell ref="G19:H19"/>
    <mergeCell ref="M19:N19"/>
    <mergeCell ref="C20:D20"/>
    <mergeCell ref="E20:F20"/>
    <mergeCell ref="G20:H20"/>
    <mergeCell ref="M20:N20"/>
    <mergeCell ref="C15:D15"/>
    <mergeCell ref="E15:F15"/>
    <mergeCell ref="G15:H15"/>
    <mergeCell ref="M15:N15"/>
    <mergeCell ref="C16:D16"/>
    <mergeCell ref="E16:F16"/>
    <mergeCell ref="G16:H16"/>
    <mergeCell ref="M16:N16"/>
    <mergeCell ref="C11:D11"/>
    <mergeCell ref="E11:F11"/>
    <mergeCell ref="G11:H11"/>
    <mergeCell ref="M11:N11"/>
    <mergeCell ref="C14:D14"/>
    <mergeCell ref="E14:F14"/>
    <mergeCell ref="G14:H14"/>
    <mergeCell ref="M14:N14"/>
    <mergeCell ref="A2:L6"/>
    <mergeCell ref="C9:D9"/>
    <mergeCell ref="E9:F9"/>
    <mergeCell ref="G9:H9"/>
    <mergeCell ref="M9:N9"/>
    <mergeCell ref="C10:D10"/>
    <mergeCell ref="E10:F10"/>
    <mergeCell ref="G10:H10"/>
    <mergeCell ref="M10:N10"/>
  </mergeCells>
  <phoneticPr fontId="2" type="noConversion"/>
  <printOptions horizontalCentered="1"/>
  <pageMargins left="0" right="0" top="0.74803149606299213" bottom="0" header="0.31496062992125984" footer="0.31496062992125984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22</vt:i4>
      </vt:variant>
    </vt:vector>
  </HeadingPairs>
  <TitlesOfParts>
    <vt:vector size="44" baseType="lpstr">
      <vt:lpstr>07.01</vt:lpstr>
      <vt:lpstr>07.02</vt:lpstr>
      <vt:lpstr>07.03</vt:lpstr>
      <vt:lpstr>07.06</vt:lpstr>
      <vt:lpstr>07.07</vt:lpstr>
      <vt:lpstr>07.08</vt:lpstr>
      <vt:lpstr>07.09</vt:lpstr>
      <vt:lpstr>07.10</vt:lpstr>
      <vt:lpstr>07.13</vt:lpstr>
      <vt:lpstr>07.14</vt:lpstr>
      <vt:lpstr>07.15</vt:lpstr>
      <vt:lpstr>07.16</vt:lpstr>
      <vt:lpstr>07.20</vt:lpstr>
      <vt:lpstr>07.21</vt:lpstr>
      <vt:lpstr>07.22</vt:lpstr>
      <vt:lpstr>07.23</vt:lpstr>
      <vt:lpstr>07.24</vt:lpstr>
      <vt:lpstr>07.27</vt:lpstr>
      <vt:lpstr>07.28</vt:lpstr>
      <vt:lpstr>07.29</vt:lpstr>
      <vt:lpstr>07.30</vt:lpstr>
      <vt:lpstr>07.31</vt:lpstr>
      <vt:lpstr>'07.01'!Print_Area</vt:lpstr>
      <vt:lpstr>'07.02'!Print_Area</vt:lpstr>
      <vt:lpstr>'07.03'!Print_Area</vt:lpstr>
      <vt:lpstr>'07.06'!Print_Area</vt:lpstr>
      <vt:lpstr>'07.07'!Print_Area</vt:lpstr>
      <vt:lpstr>'07.08'!Print_Area</vt:lpstr>
      <vt:lpstr>'07.09'!Print_Area</vt:lpstr>
      <vt:lpstr>'07.10'!Print_Area</vt:lpstr>
      <vt:lpstr>'07.13'!Print_Area</vt:lpstr>
      <vt:lpstr>'07.14'!Print_Area</vt:lpstr>
      <vt:lpstr>'07.15'!Print_Area</vt:lpstr>
      <vt:lpstr>'07.16'!Print_Area</vt:lpstr>
      <vt:lpstr>'07.20'!Print_Area</vt:lpstr>
      <vt:lpstr>'07.21'!Print_Area</vt:lpstr>
      <vt:lpstr>'07.22'!Print_Area</vt:lpstr>
      <vt:lpstr>'07.23'!Print_Area</vt:lpstr>
      <vt:lpstr>'07.24'!Print_Area</vt:lpstr>
      <vt:lpstr>'07.27'!Print_Area</vt:lpstr>
      <vt:lpstr>'07.28'!Print_Area</vt:lpstr>
      <vt:lpstr>'07.29'!Print_Area</vt:lpstr>
      <vt:lpstr>'07.30'!Print_Area</vt:lpstr>
      <vt:lpstr>'07.31'!Print_Area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kyt</cp:lastModifiedBy>
  <cp:lastPrinted>2026-08-03T01:45:07Z</cp:lastPrinted>
  <dcterms:created xsi:type="dcterms:W3CDTF">2024-10-11T06:15:50Z</dcterms:created>
  <dcterms:modified xsi:type="dcterms:W3CDTF">2026-09-18T02:28:57Z</dcterms:modified>
</cp:coreProperties>
</file>